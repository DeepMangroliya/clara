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BOARD" sheetId="1" r:id="rId4"/>
  </sheets>
  <definedNames/>
  <calcPr/>
  <extLst>
    <ext uri="GoogleSheetsCustomDataVersion2">
      <go:sheetsCustomData xmlns:go="http://customooxmlschemas.google.com/" r:id="rId5" roundtripDataChecksum="v4cccHzk8sjk43rLBqf8aKm1A2KAhi/swBuy+dBaHd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">
      <text>
        <t xml:space="preserve">======
ID#AAAB5DgiDig
    (2026-04-29 16:56:49)
Enter the new patient booking rate over the phone for a given week</t>
      </text>
    </comment>
    <comment authorId="0" ref="EJ2">
      <text>
        <t xml:space="preserve">======
ID#AAAB5DgiDiY
    (2026-04-29 16:56:49)
Enter the total number of available appointments for the service for a given week
Note: This is number of appointments NOT hours</t>
      </text>
    </comment>
    <comment authorId="0" ref="AL2">
      <text>
        <t xml:space="preserve">======
ID#AAAB5DgiDic
    (2026-04-29 16:56:49)
Enter the phone answer rate for a given week</t>
      </text>
    </comment>
    <comment authorId="0" ref="V2">
      <text>
        <t xml:space="preserve">======
ID#AAAB5DgiDiU
    (2026-04-29 16:56:49)
1 Call right away process - What is the way to get notified on a cancellation ASAP? (Look into Jane) - CURRENTLY ON THIS (Jul 12,2022)
Look at cancelled calls, what is happening on the call, reason for cancel etc - how do we adapt as we go forward?
2	Increase hours required for an online cancel to 48/72 hours
3	Take away ability to cancel online</t>
      </text>
    </comment>
    <comment authorId="0" ref="DS2">
      <text>
        <t xml:space="preserve">======
ID#AAAB5DgiDiQ
    (2026-04-29 16:56:49)
Enter the total number of available appointments for the service for a given week
Note: This is number of appointments NOT hours</t>
      </text>
    </comment>
    <comment authorId="0" ref="AO2">
      <text>
        <t xml:space="preserve">======
ID#AAAB5DgiDiM
    (2026-04-29 16:56:49)
DND (Did Not Book)
Enter the total number of new patients that called but did not book an appointment for a given week</t>
      </text>
    </comment>
    <comment authorId="0" ref="AK2">
      <text>
        <t xml:space="preserve">======
ID#AAAB5DgiDiI
    (2026-04-29 16:56:49)
Enter the total number of missed phone calls for a given week</t>
      </text>
    </comment>
    <comment authorId="0" ref="AR2">
      <text>
        <t xml:space="preserve">======
ID#AAAB5DgiDiE
    (2026-04-29 16:56:49)
NPR (New Assessment Registry) 
Enter the total number of new patients registered at Assessment across all services for a given week</t>
      </text>
    </comment>
    <comment authorId="0" ref="CS7">
      <text>
        <t xml:space="preserve">======
ID#AAAB5DgiDiA
    (2026-04-29 16:56:49)
Do it based on the hours worked X below
Single 2/hour
Add kine as 2/hour slot (as if they are a physio)
Team 4/hour</t>
      </text>
    </comment>
    <comment authorId="0" ref="CS2">
      <text>
        <t xml:space="preserve">======
ID#AAAB5DgiDh4
    (2026-04-29 16:56:49)
Enter the total number of available appointments for the service for a given week.
Note: This is number of appointments NOT hours</t>
      </text>
    </comment>
    <comment authorId="0" ref="AS2">
      <text>
        <t xml:space="preserve">======
ID#AAAB5DgiDh8
    (2026-04-29 16:56:49)
Shows the % of new patients (Assessments) that were registered across all services for a given week</t>
      </text>
    </comment>
    <comment authorId="0" ref="DJ2">
      <text>
        <t xml:space="preserve">======
ID#AAAB5DgiDh0
    (2026-04-29 16:56:49)
Enter the total number of booked appointments (Ax + Tx) for the service for a given week
Note: This is number of appointments NOT hours</t>
      </text>
    </comment>
    <comment authorId="0" ref="DC2">
      <text>
        <t xml:space="preserve">======
ID#AAAB5DgiDhw
    (2026-04-29 16:56:49)
Enter the total amount of revenue billed for the service for a given week</t>
      </text>
    </comment>
    <comment authorId="0" ref="CK2">
      <text>
        <t xml:space="preserve">======
ID#AAAB5DgiDho
    (2026-04-29 16:56:49)
Enter the total number of Assessments completed for the service for a given week</t>
      </text>
    </comment>
    <comment authorId="0" ref="BA2">
      <text>
        <t xml:space="preserve">======
ID#AAAB5DgiDhk
    (2026-04-29 16:56:49)
Enter the total number of patients that booked an appointment during a patient fall-off call for a given week
Fall-off - patients that have not been discharged, have not had an appointment in at least 1 week, and do not have a future appointment booked</t>
      </text>
    </comment>
    <comment authorId="0" ref="AG2">
      <text>
        <t xml:space="preserve">======
ID#AAAB5DgiDhg
    (2026-04-29 16:56:49)
Enter the total number of Facebook reviews to date for a given week</t>
      </text>
    </comment>
    <comment authorId="0" ref="AX2">
      <text>
        <t xml:space="preserve">======
ID#AAAB5DgiDhY
    (2026-04-29 16:56:49)
NPS (Net Promoter Score)
Enter the number of patient satisfaction cards completed at Assessment across all services for a given week</t>
      </text>
    </comment>
    <comment authorId="0" ref="EB2">
      <text>
        <t xml:space="preserve">======
ID#AAAB5DgiDhc
    (2026-04-29 16:56:49)
Enter the total number of Assessments completed for the service for a given week</t>
      </text>
    </comment>
    <comment authorId="0" ref="DR2">
      <text>
        <t xml:space="preserve">======
ID#AAAB5DgiDhU
    (2026-04-29 16:56:49)
PVA (Patient Visit Average) 
Shows the average number of treatments sessions per Assessment completed for the service for a running 4 week average</t>
      </text>
    </comment>
    <comment authorId="0" ref="AN2">
      <text>
        <t xml:space="preserve">======
ID#AAAB5DgiDhM
    (2026-04-29 16:56:49)
NBO (New Business Opportunities)
Enter the total number of new patients that called for a given week</t>
      </text>
    </comment>
    <comment authorId="0" ref="CM2">
      <text>
        <t xml:space="preserve">======
ID#AAAB5DgiDhQ
    (2026-04-29 16:56:49)
In product report, please count the number of AHS Assessments (Ax)</t>
      </text>
    </comment>
    <comment authorId="0" ref="DE2">
      <text>
        <t xml:space="preserve">======
ID#AAAB5DgiDhI
    (2026-04-29 16:56:49)
Enter the total number of treatments completed for the service for a given week</t>
      </text>
    </comment>
    <comment authorId="0" ref="AJ2">
      <text>
        <t xml:space="preserve">======
ID#AAAB5DgiDhE
    (2026-04-29 16:56:49)
Enter the total number of incoming phone calls for a given week</t>
      </text>
    </comment>
    <comment authorId="0" ref="B2">
      <text>
        <t xml:space="preserve">======
ID#AAAB5DgiDg8
    (2026-04-29 16:56:49)
Enter the total revenue billed across all services for a given week</t>
      </text>
    </comment>
    <comment authorId="0" ref="ED2">
      <text>
        <t xml:space="preserve">======
ID#AAAB5DgiDhA
    (2026-04-29 16:56:49)
PVA (Patient Visit Average) 
Shows the average number of treatments sessions per Assessment completed for the service for a running 4 week average</t>
      </text>
    </comment>
    <comment authorId="0" ref="DK2">
      <text>
        <t xml:space="preserve">======
ID#AAAB5DgiDg4
    (2026-04-29 16:56:49)
Shows the percent of available appointments that were booked for the service for a given week</t>
      </text>
    </comment>
    <comment authorId="0" ref="I2">
      <text>
        <t xml:space="preserve">======
ID#AAAB5DgiDg0
    (2026-04-29 16:56:49)
Shows the % of total revenue collected across all services for a running 4 week average</t>
      </text>
    </comment>
    <comment authorId="0" ref="EK2">
      <text>
        <t xml:space="preserve">======
ID#AAAB5DgiDgw
    (2026-04-29 16:56:49)
Enter the total number of booked appointments (Ax + Tx) for the service for a given week
Note: This is number of appointments NOT hours</t>
      </text>
    </comment>
    <comment authorId="0" ref="CJ2">
      <text>
        <t xml:space="preserve">======
ID#AAAB5DgiDgs
    (2026-04-29 16:56:49)
Enter the total amount of revenue billed for the service for a given week</t>
      </text>
    </comment>
    <comment authorId="0" ref="AU2">
      <text>
        <t xml:space="preserve">======
ID#AAAB5DgiDgk
    (2026-04-29 16:56:49)
Shows the % of new patients (Assessments) that were registered across all services for a given week</t>
      </text>
    </comment>
    <comment authorId="0" ref="CY2">
      <text>
        <t xml:space="preserve">======
ID#AAAB5DgiDgo
    (2026-04-29 16:56:49)
Shows the percent of available appointments that were booked for the service for a given week</t>
      </text>
    </comment>
    <comment authorId="0" ref="EL2">
      <text>
        <t xml:space="preserve">======
ID#AAAB5DgiDgg
    (2026-04-29 16:56:49)
Shows the percent of available appointments that were booked for the service for a given week</t>
      </text>
    </comment>
    <comment authorId="0" ref="DW2">
      <text>
        <t xml:space="preserve">======
ID#AAAB5DgiDgc
    (2026-04-29 16:56:49)
Shows the percent of available appointments that were booked for the service for a given week</t>
      </text>
    </comment>
    <comment authorId="0" ref="CW2">
      <text>
        <t xml:space="preserve">======
ID#AAAB5DgiDgY
    (2026-04-29 16:56:49)
Enter the total number of booked appointments (Ax + Tx) for the service for a given week
Note: This is number of appointments NOT hours</t>
      </text>
    </comment>
    <comment authorId="0" ref="DG2">
      <text>
        <t xml:space="preserve">======
ID#AAAB5DgiDgU
    (2026-04-29 16:56:49)
Enter the total number of available appointments for the service for a given week
Note: This is number of appointments NOT hours</t>
      </text>
    </comment>
    <comment authorId="0" ref="CL2">
      <text>
        <t xml:space="preserve">======
ID#AAAB5DgiDgQ
    (2026-04-29 16:56:49)
Enter the total number of treatments completed for the service for a given week</t>
      </text>
    </comment>
    <comment authorId="0" ref="AY2">
      <text>
        <t xml:space="preserve">======
ID#AAAB5DgiDgM
    (2026-04-29 16:56:49)
Shows the % of NPS completed at Assessment across all services for a given week</t>
      </text>
    </comment>
    <comment authorId="0" ref="EC2">
      <text>
        <t xml:space="preserve">======
ID#AAAB5DgiDgI
    (2026-04-29 16:56:49)
Enter the total number of treatments completed for the service for a given week</t>
      </text>
    </comment>
    <comment authorId="0" ref="Y2">
      <text>
        <t xml:space="preserve">======
ID#AAAB5DgiDgE
    (2026-04-29 16:56:49)
1 Call right away process - What is the way to get notified on a cancellation ASAP? (Look into Jane) - CURRENTLY ON THIS (Jul 12,2022)
Look at cancelled calls, what is happening on the call, reason for cancel etc - how do we adapt as we go forward?
2	Increase hours required for an online cancel to 48/72 hours
3	Take away ability to cancel online</t>
      </text>
    </comment>
    <comment authorId="0" ref="DF2">
      <text>
        <t xml:space="preserve">======
ID#AAAB5DgiDgA
    (2026-04-29 16:56:49)
PVA (Patient Visit Average) 
Shows the average number of treatments sessions per Assessment completed for the service for a running 4 week average</t>
      </text>
    </comment>
    <comment authorId="0" ref="CO2">
      <text>
        <t xml:space="preserve">======
ID#AAAB5DgiDf8
    (2026-04-29 16:56:49)
In product report, please count the number of AHS Treatment (Tx)</t>
      </text>
    </comment>
    <comment authorId="0" ref="AV2">
      <text>
        <t xml:space="preserve">======
ID#AAAB5DgiDf4
    (2026-04-29 16:56:49)
NPR (New Assessment Registry) 
Enter the total number of new patients registered at Assessment across all services for a given week</t>
      </text>
    </comment>
    <comment authorId="0" ref="DD2">
      <text>
        <t xml:space="preserve">======
ID#AAAB5DgiDf0
    (2026-04-29 16:56:49)
Enter the total number of Assessments completed for the service for a given week</t>
      </text>
    </comment>
    <comment authorId="0" ref="AH2">
      <text>
        <t xml:space="preserve">======
ID#AAAB5DgiDfs
    (2026-04-29 16:56:49)
Enter the total number of Google Reviews to date for a given week</t>
      </text>
    </comment>
    <comment authorId="0" ref="DP2">
      <text>
        <t xml:space="preserve">======
ID#AAAB5DgiDfw
    (2026-04-29 16:56:49)
Enter the total number of Assessments completed for the service for a given week</t>
      </text>
    </comment>
    <comment authorId="0" ref="CR2">
      <text>
        <t xml:space="preserve">======
ID#AAAB5DgiDfk
    (2026-04-29 16:56:49)
PVA (Patient Visit Average) 
Shows the average number of treatments sessions per Assessment completed for the service for a running 4 week average</t>
      </text>
    </comment>
    <comment authorId="0" ref="EA2">
      <text>
        <t xml:space="preserve">======
ID#AAAB5DgiDfo
    (2026-04-29 16:56:49)
Enter the total amount of revenue billed for the service for a given week</t>
      </text>
    </comment>
    <comment authorId="0" ref="AZ2">
      <text>
        <t xml:space="preserve">======
ID#AAAB5DgiDfg
    (2026-04-29 16:56:49)
Enter the total number of patients that booked an appointment during a patient follow-up call for a given week
Follow-up - patients that have been discharged and we called to see how they are doing</t>
      </text>
    </comment>
    <comment authorId="0" ref="DQ2">
      <text>
        <t xml:space="preserve">======
ID#AAAB5DgiDfY
    (2026-04-29 16:56:49)
Enter the total number of treatments completed for the service for a given week</t>
      </text>
    </comment>
    <comment authorId="0" ref="DO2">
      <text>
        <t xml:space="preserve">======
ID#AAAB5DgiDfc
    (2026-04-29 16:56:49)
Enter the total amount of revenue billed for the service for a given week</t>
      </text>
    </comment>
    <comment authorId="0" ref="O2">
      <text>
        <t xml:space="preserve">======
ID#AAAB5DgiDfQ
    (2026-04-29 16:56:49)
Enter the total Assessments completed across all services for a given week</t>
      </text>
    </comment>
    <comment authorId="0" ref="CX2">
      <text>
        <t xml:space="preserve">======
ID#AAAB5DgiDfM
    (2026-04-29 16:56:49)
Shows the percent of available appointments that were booked for the service for a given week</t>
      </text>
    </comment>
    <comment authorId="0" ref="H2">
      <text>
        <t xml:space="preserve">======
ID#AAAB5DgiDfI
    (2026-04-29 16:56:49)
Enter the total payments collected across all services for a given week
"APPLIED PAYMENTS"</t>
      </text>
    </comment>
    <comment authorId="0" ref="DV2">
      <text>
        <t xml:space="preserve">======
ID#AAAB5DgiDfE
    (2026-04-29 16:56:49)
Enter the total number of booked appointments (Ax + Tx) for the service for a given week
Note: This is number of appointments NOT hours</t>
      </text>
    </comment>
  </commentList>
  <extLst>
    <ext uri="GoogleSheetsCustomDataVersion2">
      <go:sheetsCustomData xmlns:go="http://customooxmlschemas.google.com/" r:id="rId1" roundtripDataSignature="AMtx7mi1N3xbhtsUrcIfm572PA2fiuIJkQ=="/>
    </ext>
  </extLst>
</comments>
</file>

<file path=xl/sharedStrings.xml><?xml version="1.0" encoding="utf-8"?>
<sst xmlns="http://schemas.openxmlformats.org/spreadsheetml/2006/main" count="422" uniqueCount="177">
  <si>
    <t>PHONE PERFORMANCE</t>
  </si>
  <si>
    <t xml:space="preserve">\ </t>
  </si>
  <si>
    <t>Total Revenue 
- All Services</t>
  </si>
  <si>
    <t>Total Product Revenue - All Services</t>
  </si>
  <si>
    <t>Theraguns Sold (#)</t>
  </si>
  <si>
    <t>Pillows</t>
  </si>
  <si>
    <t>Custom Knee Brace</t>
  </si>
  <si>
    <t>Orthotics</t>
  </si>
  <si>
    <t>Total Payments - All Services</t>
  </si>
  <si>
    <t>Revenue Collected (4 wk avg)</t>
  </si>
  <si>
    <t>AR &gt; 90 days</t>
  </si>
  <si>
    <t>Total AR</t>
  </si>
  <si>
    <t>Online Bookings Via Jane</t>
  </si>
  <si>
    <t>Consult Requests</t>
  </si>
  <si>
    <t>Consults turned Ax</t>
  </si>
  <si>
    <t>Total Ax 
- All Services</t>
  </si>
  <si>
    <t>Ax 4 Week Avg</t>
  </si>
  <si>
    <t># of Rx (Clinic Wide)</t>
  </si>
  <si>
    <t>Clinic PVA</t>
  </si>
  <si>
    <t>CROSS REFERRAL AX (Total)</t>
  </si>
  <si>
    <t xml:space="preserve">Submitted
</t>
  </si>
  <si>
    <t>Unsubmitted</t>
  </si>
  <si>
    <t>Cancelled 
 Total Ax</t>
  </si>
  <si>
    <t>Cancelled 
Ax (Online)</t>
  </si>
  <si>
    <t>Cancelled Ax Online %</t>
  </si>
  <si>
    <t>Cancelled Online Ax WINBACK</t>
  </si>
  <si>
    <t>Cancellation %</t>
  </si>
  <si>
    <t># of Fall Offs
(Total)</t>
  </si>
  <si>
    <t>Fall Off % Called</t>
  </si>
  <si>
    <t>FB Reviews</t>
  </si>
  <si>
    <t>Google Reviews</t>
  </si>
  <si>
    <t>Total Calls (5530)</t>
  </si>
  <si>
    <t>Missed Calls</t>
  </si>
  <si>
    <t>Answer Rate</t>
  </si>
  <si>
    <t>Booking Rate</t>
  </si>
  <si>
    <t>NBO</t>
  </si>
  <si>
    <t>DNB</t>
  </si>
  <si>
    <t>Winback (Ax Only)</t>
  </si>
  <si>
    <t>NAR Collected at Ax</t>
  </si>
  <si>
    <t>NAR % Collected at Ax</t>
  </si>
  <si>
    <t>Average 
Prescribed</t>
  </si>
  <si>
    <t>Booked:Prescribed % 
(Total)</t>
  </si>
  <si>
    <t># of Tx Plan Given</t>
  </si>
  <si>
    <t>% Tx Plan Used</t>
  </si>
  <si>
    <t>NPS Collected at Ax</t>
  </si>
  <si>
    <t>NPS % Collected at Ax</t>
  </si>
  <si>
    <t>Follow-up 
won</t>
  </si>
  <si>
    <t>Dropped Clients
won</t>
  </si>
  <si>
    <t>NAR Submission</t>
  </si>
  <si>
    <t>NAR Percentage</t>
  </si>
  <si>
    <t>Shockwave Alone</t>
  </si>
  <si>
    <t>Shockwave + PT</t>
  </si>
  <si>
    <t>Total Shockwave Revenue</t>
  </si>
  <si>
    <t>Total Patient Database</t>
  </si>
  <si>
    <t>Total Active Patients</t>
  </si>
  <si>
    <t>Calls made by Other Clinicians</t>
  </si>
  <si>
    <t xml:space="preserve">AHS active clients </t>
  </si>
  <si>
    <t>Total Active Called</t>
  </si>
  <si>
    <t>Discovery Booked</t>
  </si>
  <si>
    <t>MD faxees sent</t>
  </si>
  <si>
    <t>MD's called</t>
  </si>
  <si>
    <t>Emails Sent</t>
  </si>
  <si>
    <t>Open Rate</t>
  </si>
  <si>
    <t>Email Responses</t>
  </si>
  <si>
    <t>Beth Outgoing Calls</t>
  </si>
  <si>
    <t>Beth incoming Calls</t>
  </si>
  <si>
    <t>Total Calls</t>
  </si>
  <si>
    <t>Discovery Call Booked</t>
  </si>
  <si>
    <t>Conversion</t>
  </si>
  <si>
    <t>Discovery Call Delivered</t>
  </si>
  <si>
    <t>Paid Virtual Delivered</t>
  </si>
  <si>
    <t>Virtual Revenue</t>
  </si>
  <si>
    <t>$$/Visit</t>
  </si>
  <si>
    <t>In-Person Visit</t>
  </si>
  <si>
    <t>MD F/U post  VV tx calls</t>
  </si>
  <si>
    <t>PT Total Revenue</t>
  </si>
  <si>
    <t>PT Ax</t>
  </si>
  <si>
    <t>PT Tx</t>
  </si>
  <si>
    <t>PT AHS Ax</t>
  </si>
  <si>
    <t>% of Total Ax (AHS)</t>
  </si>
  <si>
    <t>PT AHS Tx (Total)</t>
  </si>
  <si>
    <t>PT AHS 
Ax (Hip&amp;Knee Class)</t>
  </si>
  <si>
    <t>PT AHS Tx (Hip&amp;Knee Class)</t>
  </si>
  <si>
    <t>PVA 
(4 wk avg)</t>
  </si>
  <si>
    <t>PT Available appts</t>
  </si>
  <si>
    <t>PT Total Available Hours 
(Total)</t>
  </si>
  <si>
    <t>PT Total Available Hours 
(PT only)</t>
  </si>
  <si>
    <t>PT Total BOOKED hours</t>
  </si>
  <si>
    <t>PT Arrived appts</t>
  </si>
  <si>
    <t>Utilization (With Kines)</t>
  </si>
  <si>
    <t>Utilization (Without Kines)</t>
  </si>
  <si>
    <t>PT TP Given</t>
  </si>
  <si>
    <t>TP Utilization</t>
  </si>
  <si>
    <t>RMT Total Revenue</t>
  </si>
  <si>
    <t>RMT 
Ax</t>
  </si>
  <si>
    <t>RMT 
Tx</t>
  </si>
  <si>
    <t>RMT Available slots</t>
  </si>
  <si>
    <t>RMT Hours Available</t>
  </si>
  <si>
    <t>RMT BOOKED hours</t>
  </si>
  <si>
    <t>RMT Arrived slots</t>
  </si>
  <si>
    <t>Utilization</t>
  </si>
  <si>
    <t>RMT TP Given</t>
  </si>
  <si>
    <t>CHIRO 
Total Revenue</t>
  </si>
  <si>
    <t>CHIRO
Ax</t>
  </si>
  <si>
    <t>CHIRO
Tx</t>
  </si>
  <si>
    <t>CHIRO Available slots</t>
  </si>
  <si>
    <t>Chiro Hours Available</t>
  </si>
  <si>
    <t>Chiro BOOKED hours</t>
  </si>
  <si>
    <t>CHIRO Arrived slots</t>
  </si>
  <si>
    <t>CHIRO TP Given</t>
  </si>
  <si>
    <t>Pelvic Health
Total Revenue</t>
  </si>
  <si>
    <t>Pelvic Health
Ax</t>
  </si>
  <si>
    <t>Pelvic Health
Tx</t>
  </si>
  <si>
    <t>True PVA Average</t>
  </si>
  <si>
    <t>PVA AVERAGE</t>
  </si>
  <si>
    <t>Pelvic Health Available slots</t>
  </si>
  <si>
    <t>Pelvic Health Arrived slots</t>
  </si>
  <si>
    <t>Focus:</t>
  </si>
  <si>
    <t>Financial</t>
  </si>
  <si>
    <t>Collection</t>
  </si>
  <si>
    <t>Bookings</t>
  </si>
  <si>
    <t>Marketing</t>
  </si>
  <si>
    <t>Caseload</t>
  </si>
  <si>
    <t>Treatment Plan</t>
  </si>
  <si>
    <t>New Clients</t>
  </si>
  <si>
    <t>Online</t>
  </si>
  <si>
    <t>Phone</t>
  </si>
  <si>
    <t>Answer</t>
  </si>
  <si>
    <t>Book</t>
  </si>
  <si>
    <t>Tx Plan</t>
  </si>
  <si>
    <t>Satisfaction</t>
  </si>
  <si>
    <t>Rapport</t>
  </si>
  <si>
    <t>Commitment</t>
  </si>
  <si>
    <t>Beth</t>
  </si>
  <si>
    <t>Paula</t>
  </si>
  <si>
    <t>Tracy</t>
  </si>
  <si>
    <t xml:space="preserve">Beth  </t>
  </si>
  <si>
    <t>Tracy+Paula</t>
  </si>
  <si>
    <t>AHS</t>
  </si>
  <si>
    <t>Source:</t>
  </si>
  <si>
    <t>EMR</t>
  </si>
  <si>
    <t>Ratio</t>
  </si>
  <si>
    <t>Form</t>
  </si>
  <si>
    <t>GS</t>
  </si>
  <si>
    <t>NAR</t>
  </si>
  <si>
    <t>Jane</t>
  </si>
  <si>
    <t>Tracker</t>
  </si>
  <si>
    <t>Facebook</t>
  </si>
  <si>
    <t>Google</t>
  </si>
  <si>
    <t>CallHero</t>
  </si>
  <si>
    <t>Formula</t>
  </si>
  <si>
    <t xml:space="preserve">NPS </t>
  </si>
  <si>
    <t>OBJECTIONS</t>
  </si>
  <si>
    <t>HOOKS</t>
  </si>
  <si>
    <t>Estimate</t>
  </si>
  <si>
    <t>Role:</t>
  </si>
  <si>
    <t>J</t>
  </si>
  <si>
    <t>Nicole</t>
  </si>
  <si>
    <t xml:space="preserve">J </t>
  </si>
  <si>
    <t>BETH</t>
  </si>
  <si>
    <t xml:space="preserve"> </t>
  </si>
  <si>
    <t xml:space="preserve">DISOVERY calls </t>
  </si>
  <si>
    <t>innocare</t>
  </si>
  <si>
    <t>...+</t>
  </si>
  <si>
    <t>Target</t>
  </si>
  <si>
    <t>`</t>
  </si>
  <si>
    <t>100% Target</t>
  </si>
  <si>
    <t>Target = 75%</t>
  </si>
  <si>
    <t>Target = 80%</t>
  </si>
  <si>
    <t>Single (2/hr) Team (4/hr )</t>
  </si>
  <si>
    <t>Target = 60%</t>
  </si>
  <si>
    <t>Total Available = 32</t>
  </si>
  <si>
    <t>Total Available = 34</t>
  </si>
  <si>
    <t>Target = 1</t>
  </si>
  <si>
    <t>2.87</t>
  </si>
  <si>
    <t>3.26</t>
  </si>
  <si>
    <t>3.35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</si>
</sst>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0.0"/>
    <numFmt numFmtId="166" formatCode="mmmm&quot; &quot;d&quot;, &quot;yyyy"/>
    <numFmt numFmtId="167" formatCode="mmmm d, yyyy"/>
    <numFmt numFmtId="168" formatCode="&quot;$&quot;#,##0"/>
    <numFmt numFmtId="169" formatCode="$0,0"/>
  </numFmts>
  <fonts count="16">
    <font>
      <sz val="10.0"/>
      <color rgb="FF000000"/>
      <name val="Arial"/>
      <scheme val="minor"/>
    </font>
    <font>
      <b/>
      <sz val="10.0"/>
      <color rgb="FFF66058"/>
      <name val="Source Sans Pro"/>
    </font>
    <font>
      <b/>
      <sz val="10.0"/>
      <color rgb="FFFFFFFF"/>
      <name val="Source Sans Pro"/>
    </font>
    <font>
      <b/>
      <sz val="10.0"/>
      <color rgb="FF000000"/>
      <name val="Source Sans Pro"/>
    </font>
    <font>
      <b/>
      <sz val="10.0"/>
      <color rgb="FF333333"/>
      <name val="Source Sans Pro"/>
    </font>
    <font>
      <b/>
      <color rgb="FFFFFFFF"/>
      <name val="Source Sans Pro"/>
    </font>
    <font>
      <b/>
      <sz val="9.0"/>
      <color rgb="FFFFFFFF"/>
      <name val="Source Sans Pro"/>
    </font>
    <font>
      <sz val="9.0"/>
      <color rgb="FF000000"/>
      <name val="Source Sans Pro"/>
    </font>
    <font>
      <u/>
      <sz val="9.0"/>
      <color rgb="FF000000"/>
      <name val="Source Sans Pro"/>
    </font>
    <font>
      <color theme="1"/>
      <name val="Source Sans Pro"/>
    </font>
    <font>
      <b/>
      <sz val="10.0"/>
      <color rgb="FFB7B7B7"/>
      <name val="Source Sans Pro"/>
    </font>
    <font>
      <sz val="10.0"/>
      <color rgb="FFB7B7B7"/>
      <name val="Source Sans Pro"/>
    </font>
    <font>
      <sz val="10.0"/>
      <color rgb="FFFFFFFF"/>
      <name val="Source Sans Pro"/>
    </font>
    <font>
      <color rgb="FFB7B7B7"/>
      <name val="Source Sans Pro"/>
    </font>
    <font>
      <sz val="10.0"/>
      <color rgb="FF000000"/>
      <name val="Source Sans Pro"/>
    </font>
    <font>
      <color rgb="FF000000"/>
      <name val="Source Sans Pro"/>
    </font>
  </fonts>
  <fills count="14">
    <fill>
      <patternFill patternType="none"/>
    </fill>
    <fill>
      <patternFill patternType="lightGray"/>
    </fill>
    <fill>
      <patternFill patternType="solid">
        <fgColor rgb="FF45C2BE"/>
        <bgColor rgb="FF45C2BE"/>
      </patternFill>
    </fill>
    <fill>
      <patternFill patternType="solid">
        <fgColor rgb="FFEFEFEF"/>
        <bgColor rgb="FFEFEFEF"/>
      </patternFill>
    </fill>
    <fill>
      <patternFill patternType="solid">
        <fgColor rgb="FFDC3BFF"/>
        <bgColor rgb="FFDC3BFF"/>
      </patternFill>
    </fill>
    <fill>
      <patternFill patternType="solid">
        <fgColor rgb="FF253746"/>
        <bgColor rgb="FF253746"/>
      </patternFill>
    </fill>
    <fill>
      <patternFill patternType="solid">
        <fgColor rgb="FFFFFEE7"/>
        <bgColor rgb="FFFFFEE7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2" fontId="2" numFmtId="1" xfId="0" applyAlignment="1" applyFont="1" applyNumberFormat="1">
      <alignment horizontal="center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0" fillId="8" fontId="2" numFmtId="0" xfId="0" applyAlignment="1" applyFill="1" applyFont="1">
      <alignment horizontal="center" shrinkToFit="0" vertical="center" wrapText="1"/>
    </xf>
    <xf borderId="0" fillId="2" fontId="2" numFmtId="9" xfId="0" applyAlignment="1" applyFont="1" applyNumberFormat="1">
      <alignment horizontal="center" shrinkToFit="0" vertical="center" wrapText="1"/>
    </xf>
    <xf borderId="0" fillId="9" fontId="2" numFmtId="0" xfId="0" applyAlignment="1" applyFill="1" applyFont="1">
      <alignment horizontal="center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1" fontId="2" numFmtId="0" xfId="0" applyAlignment="1" applyFill="1" applyFont="1">
      <alignment horizontal="center" shrinkToFit="0" vertical="center" wrapText="1"/>
    </xf>
    <xf borderId="0" fillId="12" fontId="4" numFmtId="0" xfId="0" applyAlignment="1" applyFill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5" fontId="6" numFmtId="166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Font="1"/>
    <xf borderId="0" fillId="10" fontId="7" numFmtId="3" xfId="0" applyAlignment="1" applyFont="1" applyNumberFormat="1">
      <alignment horizontal="center"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1" numFmtId="164" xfId="0" applyAlignment="1" applyFont="1" applyNumberFormat="1">
      <alignment horizontal="center" shrinkToFit="0" vertical="center" wrapText="1"/>
    </xf>
    <xf borderId="0" fillId="5" fontId="11" numFmtId="1" xfId="0" applyAlignment="1" applyFont="1" applyNumberFormat="1">
      <alignment horizontal="center" shrinkToFit="0" vertical="center" wrapText="1"/>
    </xf>
    <xf borderId="0" fillId="5" fontId="11" numFmtId="165" xfId="0" applyAlignment="1" applyFont="1" applyNumberForma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1" numFmtId="3" xfId="0" applyAlignment="1" applyFont="1" applyNumberFormat="1">
      <alignment horizontal="center" shrinkToFit="0" vertical="center" wrapText="1"/>
    </xf>
    <xf borderId="0" fillId="5" fontId="11" numFmtId="9" xfId="0" applyAlignment="1" applyFont="1" applyNumberForma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0" fillId="8" fontId="11" numFmtId="0" xfId="0" applyAlignment="1" applyFont="1">
      <alignment horizontal="center" shrinkToFit="0" vertical="center" wrapText="1"/>
    </xf>
    <xf borderId="0" fillId="5" fontId="9" numFmtId="0" xfId="0" applyFont="1"/>
    <xf borderId="1" fillId="5" fontId="11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11" numFmtId="1" xfId="0" applyAlignment="1" applyBorder="1" applyFont="1" applyNumberFormat="1">
      <alignment horizontal="center" shrinkToFit="0" vertical="center" wrapText="1"/>
    </xf>
    <xf borderId="1" fillId="5" fontId="11" numFmtId="165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1" numFmtId="3" xfId="0" applyAlignment="1" applyBorder="1" applyFont="1" applyNumberFormat="1">
      <alignment horizontal="center" shrinkToFit="0" vertical="center" wrapText="1"/>
    </xf>
    <xf borderId="1" fillId="5" fontId="11" numFmtId="9" xfId="0" applyAlignment="1" applyBorder="1" applyFont="1" applyNumberFormat="1">
      <alignment horizontal="center" shrinkToFit="0" vertical="center" wrapText="1"/>
    </xf>
    <xf borderId="1" fillId="5" fontId="12" numFmtId="10" xfId="0" applyAlignment="1" applyBorder="1" applyFont="1" applyNumberForma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5" fontId="11" numFmtId="4" xfId="0" applyAlignment="1" applyBorder="1" applyFont="1" applyNumberFormat="1">
      <alignment horizontal="center" shrinkToFit="0" vertical="center" wrapText="1"/>
    </xf>
    <xf borderId="1" fillId="5" fontId="13" numFmtId="0" xfId="0" applyAlignment="1" applyBorder="1" applyFont="1">
      <alignment horizontal="center" shrinkToFit="0" wrapText="1"/>
    </xf>
    <xf borderId="1" fillId="5" fontId="9" numFmtId="0" xfId="0" applyBorder="1" applyFont="1"/>
    <xf borderId="0" fillId="0" fontId="14" numFmtId="167" xfId="0" applyAlignment="1" applyFont="1" applyNumberFormat="1">
      <alignment horizontal="left" shrinkToFit="0" vertical="center" wrapText="0"/>
    </xf>
    <xf borderId="0" fillId="0" fontId="14" numFmtId="168" xfId="0" applyAlignment="1" applyFont="1" applyNumberFormat="1">
      <alignment horizontal="center" vertical="center"/>
    </xf>
    <xf borderId="0" fillId="0" fontId="14" numFmtId="3" xfId="0" applyAlignment="1" applyFont="1" applyNumberFormat="1">
      <alignment horizontal="center" vertical="center"/>
    </xf>
    <xf borderId="0" fillId="0" fontId="14" numFmtId="9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 vertical="center"/>
    </xf>
    <xf borderId="0" fillId="13" fontId="14" numFmtId="0" xfId="0" applyAlignment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5" fontId="14" numFmtId="0" xfId="0" applyAlignment="1" applyFont="1">
      <alignment horizontal="center" vertical="center"/>
    </xf>
    <xf borderId="0" fillId="13" fontId="14" numFmtId="3" xfId="0" applyAlignment="1" applyFont="1" applyNumberFormat="1">
      <alignment horizontal="center" vertical="center"/>
    </xf>
    <xf borderId="0" fillId="0" fontId="14" numFmtId="9" xfId="0" applyAlignment="1" applyFont="1" applyNumberFormat="1">
      <alignment horizontal="center" vertical="center"/>
    </xf>
    <xf borderId="0" fillId="13" fontId="14" numFmtId="9" xfId="0" applyAlignment="1" applyFont="1" applyNumberFormat="1">
      <alignment horizontal="center" vertical="center"/>
    </xf>
    <xf borderId="0" fillId="13" fontId="14" numFmtId="1" xfId="0" applyAlignment="1" applyFont="1" applyNumberFormat="1">
      <alignment horizontal="center" vertical="center"/>
    </xf>
    <xf borderId="0" fillId="8" fontId="14" numFmtId="0" xfId="0" applyAlignment="1" applyFont="1">
      <alignment horizontal="center" vertical="center"/>
    </xf>
    <xf borderId="0" fillId="13" fontId="14" numFmtId="49" xfId="0" applyAlignment="1" applyFont="1" applyNumberFormat="1">
      <alignment horizontal="center" vertical="center"/>
    </xf>
    <xf borderId="0" fillId="8" fontId="14" numFmtId="169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4" numFmtId="169" xfId="0" applyAlignment="1" applyFont="1" applyNumberFormat="1">
      <alignment horizontal="center" vertical="center"/>
    </xf>
    <xf borderId="0" fillId="13" fontId="15" numFmtId="1" xfId="0" applyAlignment="1" applyFont="1" applyNumberFormat="1">
      <alignment horizontal="center"/>
    </xf>
    <xf borderId="0" fillId="0" fontId="14" numFmtId="2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center"/>
    </xf>
    <xf borderId="0" fillId="0" fontId="15" numFmtId="1" xfId="0" applyAlignment="1" applyFont="1" applyNumberFormat="1">
      <alignment horizontal="center"/>
    </xf>
    <xf borderId="0" fillId="13" fontId="14" numFmtId="168" xfId="0" applyAlignment="1" applyFont="1" applyNumberFormat="1">
      <alignment horizontal="center" vertical="center"/>
    </xf>
    <xf borderId="0" fillId="0" fontId="14" numFmtId="4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D9D9D9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2.38"/>
    <col customWidth="1" min="4" max="7" width="7.0"/>
    <col customWidth="1" min="9" max="9" width="15.38"/>
    <col customWidth="1" min="10" max="10" width="10.0"/>
    <col customWidth="1" min="11" max="11" width="11.25"/>
    <col customWidth="1" min="12" max="18" width="10.0"/>
    <col customWidth="1" min="19" max="19" width="1.88"/>
    <col customWidth="1" min="20" max="20" width="10.0"/>
    <col customWidth="1" min="21" max="21" width="1.88"/>
    <col customWidth="1" min="22" max="23" width="10.88"/>
    <col customWidth="1" min="24" max="24" width="1.88"/>
    <col customWidth="1" min="25" max="28" width="10.88"/>
    <col customWidth="1" min="29" max="30" width="10.13"/>
    <col customWidth="1" hidden="1" min="31" max="31" width="10.13"/>
    <col customWidth="1" min="32" max="32" width="1.88"/>
    <col customWidth="1" min="33" max="33" width="8.13"/>
    <col customWidth="1" min="34" max="34" width="7.38"/>
    <col customWidth="1" min="35" max="35" width="1.75"/>
    <col customWidth="1" min="36" max="38" width="6.88"/>
    <col customWidth="1" min="39" max="39" width="8.13"/>
    <col customWidth="1" min="40" max="41" width="6.88"/>
    <col customWidth="1" min="42" max="42" width="8.13"/>
    <col customWidth="1" min="43" max="43" width="1.75"/>
    <col customWidth="1" min="44" max="44" width="10.63"/>
    <col customWidth="1" min="45" max="45" width="12.38"/>
    <col customWidth="1" min="46" max="47" width="15.63"/>
    <col customWidth="1" min="48" max="49" width="10.63"/>
    <col customWidth="1" hidden="1" min="50" max="50" width="10.38"/>
    <col customWidth="1" hidden="1" min="51" max="51" width="8.63"/>
    <col customWidth="1" hidden="1" min="52" max="52" width="11.63"/>
    <col customWidth="1" hidden="1" min="53" max="53" width="13.25"/>
    <col customWidth="1" min="54" max="54" width="2.13"/>
    <col customWidth="1" hidden="1" min="55" max="56" width="10.0"/>
    <col customWidth="1" hidden="1" min="57" max="57" width="1.75"/>
    <col customWidth="1" hidden="1" min="58" max="58" width="10.0"/>
    <col customWidth="1" hidden="1" min="59" max="60" width="11.0"/>
    <col customWidth="1" hidden="1" min="61" max="61" width="2.0"/>
    <col customWidth="1" hidden="1" min="62" max="68" width="10.38"/>
    <col customWidth="1" hidden="1" min="69" max="69" width="9.0"/>
    <col customWidth="1" hidden="1" min="70" max="70" width="17.25"/>
    <col customWidth="1" hidden="1" min="71" max="83" width="11.0"/>
    <col customWidth="1" hidden="1" min="84" max="84" width="2.0"/>
    <col customWidth="1" hidden="1" min="85" max="86" width="11.0"/>
    <col customWidth="1" hidden="1" min="87" max="87" width="2.25"/>
    <col customWidth="1" min="88" max="88" width="11.0"/>
    <col customWidth="1" min="89" max="95" width="10.13"/>
    <col customWidth="1" min="96" max="96" width="11.5"/>
    <col customWidth="1" hidden="1" min="97" max="97" width="11.88"/>
    <col customWidth="1" min="98" max="100" width="11.88"/>
    <col customWidth="1" min="101" max="101" width="10.75"/>
    <col customWidth="1" min="102" max="105" width="9.25"/>
    <col customWidth="1" min="106" max="106" width="2.13"/>
    <col customWidth="1" min="107" max="107" width="11.0"/>
    <col customWidth="1" min="108" max="108" width="7.25"/>
    <col customWidth="1" min="109" max="109" width="9.88"/>
    <col customWidth="1" min="110" max="110" width="11.5"/>
    <col customWidth="1" hidden="1" min="111" max="111" width="11.0"/>
    <col customWidth="1" min="112" max="114" width="9.88"/>
    <col customWidth="1" min="115" max="117" width="9.25"/>
    <col customWidth="1" min="118" max="118" width="2.13"/>
    <col customWidth="1" min="119" max="120" width="8.63"/>
    <col customWidth="1" min="121" max="121" width="9.88"/>
    <col customWidth="1" min="122" max="122" width="9.5"/>
    <col customWidth="1" hidden="1" min="123" max="123" width="9.5"/>
    <col customWidth="1" min="124" max="126" width="10.25"/>
    <col customWidth="1" min="127" max="127" width="8.63"/>
    <col customWidth="1" min="128" max="129" width="9.25"/>
    <col customWidth="1" min="130" max="130" width="2.13"/>
    <col customWidth="1" min="131" max="131" width="9.75"/>
    <col customWidth="1" min="132" max="132" width="8.63"/>
    <col customWidth="1" min="133" max="133" width="10.13"/>
    <col customWidth="1" min="134" max="134" width="8.63"/>
    <col customWidth="1" min="135" max="135" width="2.13"/>
    <col customWidth="1" min="136" max="137" width="8.63"/>
    <col customWidth="1" min="138" max="138" width="2.13"/>
    <col customWidth="1" hidden="1" min="139" max="142" width="8.6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2"/>
      <c r="M1" s="5"/>
      <c r="N1" s="5"/>
      <c r="O1" s="2"/>
      <c r="P1" s="6"/>
      <c r="Q1" s="2"/>
      <c r="R1" s="7"/>
      <c r="S1" s="8"/>
      <c r="T1" s="6"/>
      <c r="U1" s="8"/>
      <c r="V1" s="9"/>
      <c r="W1" s="9"/>
      <c r="X1" s="8"/>
      <c r="Y1" s="9"/>
      <c r="Z1" s="9"/>
      <c r="AA1" s="10"/>
      <c r="AB1" s="10"/>
      <c r="AC1" s="2"/>
      <c r="AD1" s="2"/>
      <c r="AE1" s="2"/>
      <c r="AF1" s="8"/>
      <c r="AG1" s="2"/>
      <c r="AH1" s="2"/>
      <c r="AI1" s="8"/>
      <c r="AJ1" s="11" t="s">
        <v>0</v>
      </c>
      <c r="AQ1" s="12"/>
      <c r="AR1" s="2"/>
      <c r="AS1" s="3"/>
      <c r="AT1" s="3"/>
      <c r="AU1" s="3"/>
      <c r="AV1" s="2"/>
      <c r="AW1" s="13"/>
      <c r="AX1" s="2"/>
      <c r="AY1" s="3"/>
      <c r="AZ1" s="2"/>
      <c r="BA1" s="2"/>
      <c r="BB1" s="8"/>
      <c r="BC1" s="9"/>
      <c r="BD1" s="9"/>
      <c r="BE1" s="8"/>
      <c r="BF1" s="9"/>
      <c r="BG1" s="9"/>
      <c r="BH1" s="9"/>
      <c r="BI1" s="12"/>
      <c r="BJ1" s="14"/>
      <c r="BK1" s="14"/>
      <c r="BL1" s="14"/>
      <c r="BM1" s="14"/>
      <c r="BN1" s="14"/>
      <c r="BO1" s="14"/>
      <c r="BP1" s="15"/>
      <c r="BQ1" s="15"/>
      <c r="BR1" s="15"/>
      <c r="BS1" s="9"/>
      <c r="BT1" s="9"/>
      <c r="BU1" s="9"/>
      <c r="BV1" s="2"/>
      <c r="BW1" s="2"/>
      <c r="BX1" s="2"/>
      <c r="BY1" s="15"/>
      <c r="BZ1" s="2"/>
      <c r="CA1" s="2"/>
      <c r="CB1" s="16"/>
      <c r="CC1" s="16"/>
      <c r="CD1" s="15"/>
      <c r="CE1" s="2"/>
      <c r="CF1" s="12"/>
      <c r="CG1" s="2"/>
      <c r="CH1" s="2"/>
      <c r="CI1" s="12"/>
      <c r="CJ1" s="2"/>
      <c r="CK1" s="2"/>
      <c r="CL1" s="2"/>
      <c r="CM1" s="17"/>
      <c r="CN1" s="17"/>
      <c r="CO1" s="17"/>
      <c r="CP1" s="17"/>
      <c r="CQ1" s="17"/>
      <c r="CR1" s="3"/>
      <c r="CS1" s="2"/>
      <c r="CT1" s="2"/>
      <c r="CU1" s="2"/>
      <c r="CV1" s="2"/>
      <c r="CW1" s="2"/>
      <c r="CX1" s="3"/>
      <c r="CY1" s="3"/>
      <c r="CZ1" s="2"/>
      <c r="DA1" s="2"/>
      <c r="DB1" s="8"/>
      <c r="DC1" s="2"/>
      <c r="DD1" s="2"/>
      <c r="DE1" s="2"/>
      <c r="DF1" s="3"/>
      <c r="DG1" s="2"/>
      <c r="DH1" s="18"/>
      <c r="DI1" s="18"/>
      <c r="DJ1" s="2"/>
      <c r="DK1" s="3"/>
      <c r="DL1" s="2"/>
      <c r="DM1" s="2"/>
      <c r="DN1" s="8"/>
      <c r="DO1" s="2"/>
      <c r="DP1" s="2"/>
      <c r="DQ1" s="2"/>
      <c r="DR1" s="3"/>
      <c r="DS1" s="2"/>
      <c r="DT1" s="2"/>
      <c r="DU1" s="2"/>
      <c r="DV1" s="2"/>
      <c r="DW1" s="3"/>
      <c r="DX1" s="2"/>
      <c r="DY1" s="2"/>
      <c r="DZ1" s="8"/>
      <c r="EA1" s="2"/>
      <c r="EB1" s="2"/>
      <c r="EC1" s="2"/>
      <c r="ED1" s="3"/>
      <c r="EE1" s="8"/>
      <c r="EF1" s="3"/>
      <c r="EG1" s="3"/>
      <c r="EH1" s="8"/>
      <c r="EI1" s="3"/>
      <c r="EJ1" s="2"/>
      <c r="EK1" s="2"/>
      <c r="EL1" s="3"/>
    </row>
    <row r="2" ht="14.2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  <c r="K2" s="4" t="s">
        <v>11</v>
      </c>
      <c r="L2" s="2" t="s">
        <v>12</v>
      </c>
      <c r="M2" s="5" t="s">
        <v>13</v>
      </c>
      <c r="N2" s="5" t="s">
        <v>14</v>
      </c>
      <c r="O2" s="2" t="s">
        <v>15</v>
      </c>
      <c r="P2" s="6" t="s">
        <v>16</v>
      </c>
      <c r="Q2" s="2" t="s">
        <v>17</v>
      </c>
      <c r="R2" s="7" t="s">
        <v>18</v>
      </c>
      <c r="S2" s="8"/>
      <c r="T2" s="6" t="s">
        <v>19</v>
      </c>
      <c r="U2" s="8"/>
      <c r="V2" s="9" t="s">
        <v>20</v>
      </c>
      <c r="W2" s="9" t="s">
        <v>21</v>
      </c>
      <c r="X2" s="8"/>
      <c r="Y2" s="9" t="s">
        <v>22</v>
      </c>
      <c r="Z2" s="9" t="s">
        <v>23</v>
      </c>
      <c r="AA2" s="10" t="s">
        <v>24</v>
      </c>
      <c r="AB2" s="10" t="s">
        <v>25</v>
      </c>
      <c r="AC2" s="2" t="s">
        <v>26</v>
      </c>
      <c r="AD2" s="2" t="s">
        <v>27</v>
      </c>
      <c r="AE2" s="2" t="s">
        <v>28</v>
      </c>
      <c r="AF2" s="8"/>
      <c r="AG2" s="2" t="s">
        <v>29</v>
      </c>
      <c r="AH2" s="2" t="s">
        <v>30</v>
      </c>
      <c r="AI2" s="8"/>
      <c r="AJ2" s="2" t="s">
        <v>31</v>
      </c>
      <c r="AK2" s="2" t="s">
        <v>32</v>
      </c>
      <c r="AL2" s="2" t="s">
        <v>33</v>
      </c>
      <c r="AM2" s="13" t="s">
        <v>34</v>
      </c>
      <c r="AN2" s="2" t="s">
        <v>35</v>
      </c>
      <c r="AO2" s="2" t="s">
        <v>36</v>
      </c>
      <c r="AP2" s="2" t="s">
        <v>37</v>
      </c>
      <c r="AQ2" s="12"/>
      <c r="AR2" s="2" t="s">
        <v>38</v>
      </c>
      <c r="AS2" s="3" t="s">
        <v>39</v>
      </c>
      <c r="AT2" s="3" t="s">
        <v>40</v>
      </c>
      <c r="AU2" s="3" t="s">
        <v>41</v>
      </c>
      <c r="AV2" s="2" t="s">
        <v>42</v>
      </c>
      <c r="AW2" s="13" t="s">
        <v>43</v>
      </c>
      <c r="AX2" s="2" t="s">
        <v>44</v>
      </c>
      <c r="AY2" s="3" t="s">
        <v>45</v>
      </c>
      <c r="AZ2" s="2" t="s">
        <v>46</v>
      </c>
      <c r="BA2" s="2" t="s">
        <v>47</v>
      </c>
      <c r="BB2" s="8"/>
      <c r="BC2" s="9" t="s">
        <v>48</v>
      </c>
      <c r="BD2" s="9" t="s">
        <v>49</v>
      </c>
      <c r="BE2" s="8"/>
      <c r="BF2" s="9" t="s">
        <v>50</v>
      </c>
      <c r="BG2" s="9" t="s">
        <v>51</v>
      </c>
      <c r="BH2" s="9" t="s">
        <v>52</v>
      </c>
      <c r="BI2" s="12"/>
      <c r="BJ2" s="14" t="s">
        <v>53</v>
      </c>
      <c r="BK2" s="14" t="s">
        <v>54</v>
      </c>
      <c r="BL2" s="14" t="s">
        <v>55</v>
      </c>
      <c r="BM2" s="14" t="s">
        <v>56</v>
      </c>
      <c r="BN2" s="14" t="s">
        <v>57</v>
      </c>
      <c r="BO2" s="14" t="s">
        <v>58</v>
      </c>
      <c r="BP2" s="15" t="s">
        <v>59</v>
      </c>
      <c r="BQ2" s="15" t="s">
        <v>60</v>
      </c>
      <c r="BR2" s="15" t="s">
        <v>61</v>
      </c>
      <c r="BS2" s="9" t="s">
        <v>62</v>
      </c>
      <c r="BT2" s="9" t="s">
        <v>63</v>
      </c>
      <c r="BU2" s="9" t="s">
        <v>64</v>
      </c>
      <c r="BV2" s="2" t="s">
        <v>65</v>
      </c>
      <c r="BW2" s="2" t="s">
        <v>66</v>
      </c>
      <c r="BX2" s="2" t="s">
        <v>67</v>
      </c>
      <c r="BY2" s="15" t="s">
        <v>68</v>
      </c>
      <c r="BZ2" s="2" t="s">
        <v>69</v>
      </c>
      <c r="CA2" s="2" t="s">
        <v>70</v>
      </c>
      <c r="CB2" s="16" t="s">
        <v>71</v>
      </c>
      <c r="CC2" s="16" t="s">
        <v>72</v>
      </c>
      <c r="CD2" s="15" t="s">
        <v>68</v>
      </c>
      <c r="CE2" s="2" t="s">
        <v>73</v>
      </c>
      <c r="CF2" s="12"/>
      <c r="CG2" s="2" t="s">
        <v>74</v>
      </c>
      <c r="CH2" s="2"/>
      <c r="CI2" s="12"/>
      <c r="CJ2" s="2" t="s">
        <v>75</v>
      </c>
      <c r="CK2" s="2" t="s">
        <v>76</v>
      </c>
      <c r="CL2" s="2" t="s">
        <v>77</v>
      </c>
      <c r="CM2" s="17" t="s">
        <v>78</v>
      </c>
      <c r="CN2" s="17" t="s">
        <v>79</v>
      </c>
      <c r="CO2" s="17" t="s">
        <v>80</v>
      </c>
      <c r="CP2" s="17" t="s">
        <v>81</v>
      </c>
      <c r="CQ2" s="17" t="s">
        <v>82</v>
      </c>
      <c r="CR2" s="3" t="s">
        <v>83</v>
      </c>
      <c r="CS2" s="2" t="s">
        <v>84</v>
      </c>
      <c r="CT2" s="2" t="s">
        <v>85</v>
      </c>
      <c r="CU2" s="2" t="s">
        <v>86</v>
      </c>
      <c r="CV2" s="2" t="s">
        <v>87</v>
      </c>
      <c r="CW2" s="2" t="s">
        <v>88</v>
      </c>
      <c r="CX2" s="3" t="s">
        <v>89</v>
      </c>
      <c r="CY2" s="3" t="s">
        <v>90</v>
      </c>
      <c r="CZ2" s="2" t="s">
        <v>91</v>
      </c>
      <c r="DA2" s="2" t="s">
        <v>92</v>
      </c>
      <c r="DB2" s="8"/>
      <c r="DC2" s="2" t="s">
        <v>93</v>
      </c>
      <c r="DD2" s="2" t="s">
        <v>94</v>
      </c>
      <c r="DE2" s="2" t="s">
        <v>95</v>
      </c>
      <c r="DF2" s="3" t="s">
        <v>83</v>
      </c>
      <c r="DG2" s="2" t="s">
        <v>96</v>
      </c>
      <c r="DH2" s="18" t="s">
        <v>97</v>
      </c>
      <c r="DI2" s="18" t="s">
        <v>98</v>
      </c>
      <c r="DJ2" s="2" t="s">
        <v>99</v>
      </c>
      <c r="DK2" s="3" t="s">
        <v>100</v>
      </c>
      <c r="DL2" s="2" t="s">
        <v>101</v>
      </c>
      <c r="DM2" s="2" t="s">
        <v>92</v>
      </c>
      <c r="DN2" s="8"/>
      <c r="DO2" s="2" t="s">
        <v>102</v>
      </c>
      <c r="DP2" s="2" t="s">
        <v>103</v>
      </c>
      <c r="DQ2" s="2" t="s">
        <v>104</v>
      </c>
      <c r="DR2" s="3" t="s">
        <v>83</v>
      </c>
      <c r="DS2" s="2" t="s">
        <v>105</v>
      </c>
      <c r="DT2" s="2" t="s">
        <v>106</v>
      </c>
      <c r="DU2" s="2" t="s">
        <v>107</v>
      </c>
      <c r="DV2" s="2" t="s">
        <v>108</v>
      </c>
      <c r="DW2" s="3" t="s">
        <v>100</v>
      </c>
      <c r="DX2" s="2" t="s">
        <v>109</v>
      </c>
      <c r="DY2" s="2" t="s">
        <v>92</v>
      </c>
      <c r="DZ2" s="8"/>
      <c r="EA2" s="2" t="s">
        <v>110</v>
      </c>
      <c r="EB2" s="2" t="s">
        <v>111</v>
      </c>
      <c r="EC2" s="2" t="s">
        <v>112</v>
      </c>
      <c r="ED2" s="3" t="s">
        <v>83</v>
      </c>
      <c r="EE2" s="8"/>
      <c r="EF2" s="3" t="s">
        <v>113</v>
      </c>
      <c r="EG2" s="3" t="s">
        <v>100</v>
      </c>
      <c r="EH2" s="8"/>
      <c r="EI2" s="3" t="s">
        <v>114</v>
      </c>
      <c r="EJ2" s="2" t="s">
        <v>115</v>
      </c>
      <c r="EK2" s="2" t="s">
        <v>116</v>
      </c>
      <c r="EL2" s="3" t="s">
        <v>100</v>
      </c>
    </row>
    <row r="3" ht="14.25" customHeight="1">
      <c r="A3" s="19" t="s">
        <v>117</v>
      </c>
      <c r="B3" s="20" t="s">
        <v>118</v>
      </c>
      <c r="C3" s="20" t="s">
        <v>118</v>
      </c>
      <c r="D3" s="20" t="s">
        <v>118</v>
      </c>
      <c r="E3" s="20" t="s">
        <v>118</v>
      </c>
      <c r="F3" s="20" t="s">
        <v>118</v>
      </c>
      <c r="G3" s="20" t="s">
        <v>118</v>
      </c>
      <c r="H3" s="20" t="s">
        <v>119</v>
      </c>
      <c r="I3" s="20" t="s">
        <v>119</v>
      </c>
      <c r="J3" s="21" t="s">
        <v>119</v>
      </c>
      <c r="K3" s="21" t="s">
        <v>119</v>
      </c>
      <c r="L3" s="20" t="s">
        <v>120</v>
      </c>
      <c r="M3" s="20" t="s">
        <v>121</v>
      </c>
      <c r="N3" s="20" t="s">
        <v>121</v>
      </c>
      <c r="O3" s="20" t="s">
        <v>121</v>
      </c>
      <c r="P3" s="22" t="s">
        <v>121</v>
      </c>
      <c r="Q3" s="20" t="s">
        <v>122</v>
      </c>
      <c r="R3" s="23"/>
      <c r="S3" s="24"/>
      <c r="T3" s="22" t="s">
        <v>122</v>
      </c>
      <c r="U3" s="24"/>
      <c r="V3" s="25" t="s">
        <v>123</v>
      </c>
      <c r="W3" s="25" t="s">
        <v>123</v>
      </c>
      <c r="X3" s="24"/>
      <c r="Y3" s="25" t="s">
        <v>124</v>
      </c>
      <c r="Z3" s="25" t="s">
        <v>125</v>
      </c>
      <c r="AA3" s="20" t="s">
        <v>125</v>
      </c>
      <c r="AB3" s="25" t="s">
        <v>125</v>
      </c>
      <c r="AC3" s="20" t="s">
        <v>122</v>
      </c>
      <c r="AD3" s="20" t="s">
        <v>122</v>
      </c>
      <c r="AE3" s="20" t="s">
        <v>122</v>
      </c>
      <c r="AF3" s="24"/>
      <c r="AG3" s="20" t="s">
        <v>121</v>
      </c>
      <c r="AH3" s="20" t="s">
        <v>121</v>
      </c>
      <c r="AI3" s="24"/>
      <c r="AJ3" s="20" t="s">
        <v>126</v>
      </c>
      <c r="AK3" s="20" t="s">
        <v>126</v>
      </c>
      <c r="AL3" s="20" t="s">
        <v>127</v>
      </c>
      <c r="AM3" s="26" t="s">
        <v>128</v>
      </c>
      <c r="AN3" s="20" t="s">
        <v>126</v>
      </c>
      <c r="AO3" s="20" t="s">
        <v>126</v>
      </c>
      <c r="AP3" s="20" t="s">
        <v>126</v>
      </c>
      <c r="AQ3" s="27"/>
      <c r="AR3" s="20" t="s">
        <v>129</v>
      </c>
      <c r="AS3" s="20" t="s">
        <v>129</v>
      </c>
      <c r="AT3" s="20" t="s">
        <v>129</v>
      </c>
      <c r="AU3" s="20" t="s">
        <v>129</v>
      </c>
      <c r="AV3" s="20" t="s">
        <v>129</v>
      </c>
      <c r="AW3" s="20" t="s">
        <v>129</v>
      </c>
      <c r="AX3" s="20" t="s">
        <v>130</v>
      </c>
      <c r="AY3" s="20" t="s">
        <v>130</v>
      </c>
      <c r="AZ3" s="20" t="s">
        <v>131</v>
      </c>
      <c r="BA3" s="20" t="s">
        <v>132</v>
      </c>
      <c r="BB3" s="24"/>
      <c r="BC3" s="25"/>
      <c r="BD3" s="25"/>
      <c r="BE3" s="24"/>
      <c r="BF3" s="25"/>
      <c r="BG3" s="25"/>
      <c r="BH3" s="25"/>
      <c r="BI3" s="27"/>
      <c r="BJ3" s="20" t="s">
        <v>133</v>
      </c>
      <c r="BK3" s="20" t="s">
        <v>134</v>
      </c>
      <c r="BL3" s="20" t="s">
        <v>135</v>
      </c>
      <c r="BM3" s="20"/>
      <c r="BN3" s="20"/>
      <c r="BO3" s="20" t="s">
        <v>135</v>
      </c>
      <c r="BP3" s="20" t="s">
        <v>135</v>
      </c>
      <c r="BQ3" s="20" t="s">
        <v>134</v>
      </c>
      <c r="BR3" s="20" t="s">
        <v>134</v>
      </c>
      <c r="BS3" s="25" t="s">
        <v>134</v>
      </c>
      <c r="BT3" s="25" t="s">
        <v>134</v>
      </c>
      <c r="BU3" s="25" t="s">
        <v>133</v>
      </c>
      <c r="BV3" s="20" t="s">
        <v>136</v>
      </c>
      <c r="BW3" s="20" t="s">
        <v>133</v>
      </c>
      <c r="BX3" s="20" t="s">
        <v>133</v>
      </c>
      <c r="BY3" s="20"/>
      <c r="BZ3" s="20" t="s">
        <v>137</v>
      </c>
      <c r="CA3" s="20" t="s">
        <v>134</v>
      </c>
      <c r="CB3" s="20" t="s">
        <v>133</v>
      </c>
      <c r="CC3" s="20"/>
      <c r="CD3" s="20"/>
      <c r="CE3" s="20"/>
      <c r="CF3" s="27"/>
      <c r="CG3" s="20"/>
      <c r="CH3" s="20"/>
      <c r="CI3" s="27"/>
      <c r="CJ3" s="20" t="s">
        <v>118</v>
      </c>
      <c r="CK3" s="20" t="s">
        <v>121</v>
      </c>
      <c r="CL3" s="20" t="s">
        <v>132</v>
      </c>
      <c r="CM3" s="20" t="s">
        <v>138</v>
      </c>
      <c r="CN3" s="20" t="s">
        <v>138</v>
      </c>
      <c r="CO3" s="20" t="s">
        <v>138</v>
      </c>
      <c r="CP3" s="20" t="s">
        <v>138</v>
      </c>
      <c r="CQ3" s="20" t="s">
        <v>138</v>
      </c>
      <c r="CR3" s="20" t="s">
        <v>132</v>
      </c>
      <c r="CS3" s="20" t="s">
        <v>122</v>
      </c>
      <c r="CT3" s="20" t="s">
        <v>122</v>
      </c>
      <c r="CU3" s="20" t="s">
        <v>122</v>
      </c>
      <c r="CV3" s="20" t="s">
        <v>122</v>
      </c>
      <c r="CW3" s="20" t="s">
        <v>122</v>
      </c>
      <c r="CX3" s="20" t="s">
        <v>122</v>
      </c>
      <c r="CY3" s="20" t="s">
        <v>122</v>
      </c>
      <c r="CZ3" s="20"/>
      <c r="DA3" s="20"/>
      <c r="DB3" s="24"/>
      <c r="DC3" s="20" t="s">
        <v>118</v>
      </c>
      <c r="DD3" s="20" t="s">
        <v>121</v>
      </c>
      <c r="DE3" s="20" t="s">
        <v>132</v>
      </c>
      <c r="DF3" s="20" t="s">
        <v>132</v>
      </c>
      <c r="DG3" s="20" t="s">
        <v>132</v>
      </c>
      <c r="DH3" s="28" t="s">
        <v>122</v>
      </c>
      <c r="DI3" s="28" t="s">
        <v>122</v>
      </c>
      <c r="DJ3" s="20" t="s">
        <v>132</v>
      </c>
      <c r="DK3" s="20" t="s">
        <v>122</v>
      </c>
      <c r="DL3" s="20"/>
      <c r="DM3" s="20"/>
      <c r="DN3" s="24"/>
      <c r="DO3" s="20" t="s">
        <v>118</v>
      </c>
      <c r="DP3" s="20" t="s">
        <v>121</v>
      </c>
      <c r="DQ3" s="20" t="s">
        <v>132</v>
      </c>
      <c r="DR3" s="20" t="s">
        <v>132</v>
      </c>
      <c r="DS3" s="20" t="s">
        <v>132</v>
      </c>
      <c r="DT3" s="20" t="s">
        <v>122</v>
      </c>
      <c r="DU3" s="20" t="s">
        <v>122</v>
      </c>
      <c r="DV3" s="20" t="s">
        <v>132</v>
      </c>
      <c r="DW3" s="20" t="s">
        <v>122</v>
      </c>
      <c r="DX3" s="20"/>
      <c r="DY3" s="20"/>
      <c r="DZ3" s="24"/>
      <c r="EA3" s="20" t="s">
        <v>118</v>
      </c>
      <c r="EB3" s="20" t="s">
        <v>121</v>
      </c>
      <c r="EC3" s="20" t="s">
        <v>132</v>
      </c>
      <c r="ED3" s="20" t="s">
        <v>132</v>
      </c>
      <c r="EE3" s="24"/>
      <c r="EF3" s="20"/>
      <c r="EG3" s="26"/>
      <c r="EH3" s="24"/>
      <c r="EI3" s="20"/>
      <c r="EJ3" s="20" t="s">
        <v>132</v>
      </c>
      <c r="EK3" s="20" t="s">
        <v>132</v>
      </c>
      <c r="EL3" s="20" t="s">
        <v>122</v>
      </c>
    </row>
    <row r="4" ht="14.25" customHeight="1">
      <c r="A4" s="19" t="s">
        <v>139</v>
      </c>
      <c r="B4" s="20" t="s">
        <v>140</v>
      </c>
      <c r="C4" s="20" t="s">
        <v>140</v>
      </c>
      <c r="D4" s="20" t="s">
        <v>140</v>
      </c>
      <c r="E4" s="20" t="s">
        <v>140</v>
      </c>
      <c r="F4" s="20" t="s">
        <v>140</v>
      </c>
      <c r="G4" s="20" t="s">
        <v>140</v>
      </c>
      <c r="H4" s="20" t="s">
        <v>140</v>
      </c>
      <c r="I4" s="20" t="s">
        <v>141</v>
      </c>
      <c r="J4" s="21" t="s">
        <v>140</v>
      </c>
      <c r="K4" s="21" t="s">
        <v>140</v>
      </c>
      <c r="L4" s="20" t="s">
        <v>140</v>
      </c>
      <c r="M4" s="20" t="s">
        <v>142</v>
      </c>
      <c r="N4" s="20" t="s">
        <v>140</v>
      </c>
      <c r="O4" s="20" t="s">
        <v>140</v>
      </c>
      <c r="P4" s="22" t="s">
        <v>143</v>
      </c>
      <c r="Q4" s="20" t="s">
        <v>140</v>
      </c>
      <c r="R4" s="23"/>
      <c r="S4" s="24"/>
      <c r="T4" s="22" t="s">
        <v>144</v>
      </c>
      <c r="U4" s="24"/>
      <c r="V4" s="25" t="s">
        <v>145</v>
      </c>
      <c r="W4" s="25" t="s">
        <v>145</v>
      </c>
      <c r="X4" s="24"/>
      <c r="Y4" s="25" t="s">
        <v>140</v>
      </c>
      <c r="Z4" s="25" t="s">
        <v>140</v>
      </c>
      <c r="AA4" s="20" t="s">
        <v>140</v>
      </c>
      <c r="AB4" s="25" t="s">
        <v>140</v>
      </c>
      <c r="AC4" s="20" t="s">
        <v>140</v>
      </c>
      <c r="AD4" s="20" t="s">
        <v>140</v>
      </c>
      <c r="AE4" s="20" t="s">
        <v>146</v>
      </c>
      <c r="AF4" s="24"/>
      <c r="AG4" s="20" t="s">
        <v>147</v>
      </c>
      <c r="AH4" s="20" t="s">
        <v>148</v>
      </c>
      <c r="AI4" s="24"/>
      <c r="AJ4" s="20" t="s">
        <v>149</v>
      </c>
      <c r="AK4" s="20" t="s">
        <v>149</v>
      </c>
      <c r="AL4" s="20" t="s">
        <v>149</v>
      </c>
      <c r="AM4" s="26" t="s">
        <v>149</v>
      </c>
      <c r="AN4" s="20" t="s">
        <v>149</v>
      </c>
      <c r="AO4" s="20" t="s">
        <v>149</v>
      </c>
      <c r="AP4" s="20" t="s">
        <v>149</v>
      </c>
      <c r="AQ4" s="27"/>
      <c r="AR4" s="20" t="s">
        <v>144</v>
      </c>
      <c r="AS4" s="20" t="s">
        <v>150</v>
      </c>
      <c r="AT4" s="20" t="s">
        <v>144</v>
      </c>
      <c r="AU4" s="20" t="s">
        <v>150</v>
      </c>
      <c r="AV4" s="20" t="s">
        <v>144</v>
      </c>
      <c r="AW4" s="20" t="s">
        <v>144</v>
      </c>
      <c r="AX4" s="20" t="s">
        <v>151</v>
      </c>
      <c r="AY4" s="20" t="s">
        <v>150</v>
      </c>
      <c r="AZ4" s="29" t="str">
        <f>HYPERLINK("https://docs.google.com/spreadsheets/d/1s496B9UDR0V6aowT5LYZIpAazEDG9mXXPINFQ_cf1ls/edit?usp=sharing","Tracker")</f>
        <v>Tracker</v>
      </c>
      <c r="BA4" s="29" t="str">
        <f>HYPERLINK("https://docs.google.com/spreadsheets/d/1rvlKu2jEbKbuiyAycq48R43M4TBOrds5lktcHJHBvik/edit?usp=sharing","Tracker")</f>
        <v>Tracker</v>
      </c>
      <c r="BB4" s="24"/>
      <c r="BC4" s="25"/>
      <c r="BD4" s="25"/>
      <c r="BE4" s="24"/>
      <c r="BF4" s="25" t="s">
        <v>140</v>
      </c>
      <c r="BG4" s="25" t="s">
        <v>140</v>
      </c>
      <c r="BH4" s="25" t="s">
        <v>140</v>
      </c>
      <c r="BI4" s="27"/>
      <c r="BJ4" s="20"/>
      <c r="BK4" s="20"/>
      <c r="BL4" s="30"/>
      <c r="BM4" s="30"/>
      <c r="BN4" s="30"/>
      <c r="BO4" s="30"/>
      <c r="BP4" s="30"/>
      <c r="BQ4" s="20"/>
      <c r="BR4" s="20"/>
      <c r="BS4" s="31"/>
      <c r="BT4" s="31"/>
      <c r="BU4" s="31" t="s">
        <v>152</v>
      </c>
      <c r="BV4" s="32" t="s">
        <v>153</v>
      </c>
      <c r="BW4" s="20"/>
      <c r="BX4" s="20"/>
      <c r="BY4" s="20"/>
      <c r="BZ4" s="20"/>
      <c r="CA4" s="20"/>
      <c r="CB4" s="20"/>
      <c r="CC4" s="20"/>
      <c r="CD4" s="20"/>
      <c r="CE4" s="20"/>
      <c r="CF4" s="27"/>
      <c r="CG4" s="20"/>
      <c r="CH4" s="20"/>
      <c r="CI4" s="27"/>
      <c r="CJ4" s="20" t="s">
        <v>140</v>
      </c>
      <c r="CK4" s="20" t="s">
        <v>140</v>
      </c>
      <c r="CL4" s="20" t="s">
        <v>140</v>
      </c>
      <c r="CM4" s="20" t="s">
        <v>140</v>
      </c>
      <c r="CN4" s="20" t="s">
        <v>140</v>
      </c>
      <c r="CO4" s="20" t="s">
        <v>140</v>
      </c>
      <c r="CP4" s="20" t="s">
        <v>140</v>
      </c>
      <c r="CQ4" s="20" t="s">
        <v>140</v>
      </c>
      <c r="CR4" s="20" t="s">
        <v>150</v>
      </c>
      <c r="CS4" s="20" t="s">
        <v>154</v>
      </c>
      <c r="CT4" s="20" t="s">
        <v>140</v>
      </c>
      <c r="CU4" s="20" t="s">
        <v>140</v>
      </c>
      <c r="CV4" s="20" t="s">
        <v>140</v>
      </c>
      <c r="CW4" s="20" t="s">
        <v>140</v>
      </c>
      <c r="CX4" s="20" t="s">
        <v>150</v>
      </c>
      <c r="CY4" s="20" t="s">
        <v>150</v>
      </c>
      <c r="CZ4" s="20"/>
      <c r="DA4" s="20"/>
      <c r="DB4" s="24"/>
      <c r="DC4" s="20" t="s">
        <v>140</v>
      </c>
      <c r="DD4" s="20" t="s">
        <v>140</v>
      </c>
      <c r="DE4" s="20" t="s">
        <v>140</v>
      </c>
      <c r="DF4" s="20" t="s">
        <v>150</v>
      </c>
      <c r="DG4" s="20" t="s">
        <v>140</v>
      </c>
      <c r="DH4" s="28" t="s">
        <v>140</v>
      </c>
      <c r="DI4" s="28" t="s">
        <v>140</v>
      </c>
      <c r="DJ4" s="20" t="s">
        <v>140</v>
      </c>
      <c r="DK4" s="20" t="s">
        <v>150</v>
      </c>
      <c r="DL4" s="20"/>
      <c r="DM4" s="20"/>
      <c r="DN4" s="24"/>
      <c r="DO4" s="20" t="s">
        <v>140</v>
      </c>
      <c r="DP4" s="20" t="s">
        <v>140</v>
      </c>
      <c r="DQ4" s="20" t="s">
        <v>140</v>
      </c>
      <c r="DR4" s="20" t="s">
        <v>150</v>
      </c>
      <c r="DS4" s="20" t="s">
        <v>140</v>
      </c>
      <c r="DT4" s="20" t="s">
        <v>140</v>
      </c>
      <c r="DU4" s="20" t="s">
        <v>140</v>
      </c>
      <c r="DV4" s="20" t="s">
        <v>140</v>
      </c>
      <c r="DW4" s="20" t="s">
        <v>150</v>
      </c>
      <c r="DX4" s="20"/>
      <c r="DY4" s="20"/>
      <c r="DZ4" s="24"/>
      <c r="EA4" s="20" t="s">
        <v>140</v>
      </c>
      <c r="EB4" s="20" t="s">
        <v>140</v>
      </c>
      <c r="EC4" s="20" t="s">
        <v>140</v>
      </c>
      <c r="ED4" s="20" t="s">
        <v>150</v>
      </c>
      <c r="EE4" s="24"/>
      <c r="EF4" s="20"/>
      <c r="EG4" s="26"/>
      <c r="EH4" s="24"/>
      <c r="EI4" s="20"/>
      <c r="EJ4" s="20" t="s">
        <v>140</v>
      </c>
      <c r="EK4" s="20" t="s">
        <v>140</v>
      </c>
      <c r="EL4" s="20" t="s">
        <v>150</v>
      </c>
    </row>
    <row r="5" ht="14.25" customHeight="1">
      <c r="A5" s="19" t="s">
        <v>155</v>
      </c>
      <c r="B5" s="20" t="s">
        <v>156</v>
      </c>
      <c r="C5" s="20" t="s">
        <v>156</v>
      </c>
      <c r="D5" s="20" t="s">
        <v>156</v>
      </c>
      <c r="E5" s="20" t="s">
        <v>156</v>
      </c>
      <c r="F5" s="20" t="s">
        <v>156</v>
      </c>
      <c r="G5" s="20" t="s">
        <v>156</v>
      </c>
      <c r="H5" s="20" t="s">
        <v>156</v>
      </c>
      <c r="I5" s="20" t="s">
        <v>156</v>
      </c>
      <c r="J5" s="20" t="s">
        <v>156</v>
      </c>
      <c r="K5" s="20" t="s">
        <v>156</v>
      </c>
      <c r="L5" s="20" t="s">
        <v>156</v>
      </c>
      <c r="M5" s="20"/>
      <c r="N5" s="20"/>
      <c r="O5" s="20" t="s">
        <v>156</v>
      </c>
      <c r="P5" s="20" t="s">
        <v>156</v>
      </c>
      <c r="Q5" s="20" t="s">
        <v>156</v>
      </c>
      <c r="R5" s="23"/>
      <c r="S5" s="24"/>
      <c r="T5" s="22" t="s">
        <v>157</v>
      </c>
      <c r="U5" s="24"/>
      <c r="V5" s="25" t="s">
        <v>156</v>
      </c>
      <c r="W5" s="25" t="s">
        <v>156</v>
      </c>
      <c r="X5" s="24"/>
      <c r="Y5" s="25" t="s">
        <v>156</v>
      </c>
      <c r="Z5" s="25" t="s">
        <v>158</v>
      </c>
      <c r="AA5" s="20" t="s">
        <v>156</v>
      </c>
      <c r="AB5" s="25" t="s">
        <v>156</v>
      </c>
      <c r="AC5" s="20" t="s">
        <v>156</v>
      </c>
      <c r="AD5" s="20" t="s">
        <v>156</v>
      </c>
      <c r="AE5" s="20" t="s">
        <v>157</v>
      </c>
      <c r="AF5" s="24"/>
      <c r="AG5" s="20" t="s">
        <v>156</v>
      </c>
      <c r="AH5" s="20" t="s">
        <v>156</v>
      </c>
      <c r="AI5" s="24"/>
      <c r="AJ5" s="20" t="s">
        <v>156</v>
      </c>
      <c r="AK5" s="20" t="s">
        <v>156</v>
      </c>
      <c r="AL5" s="20" t="s">
        <v>156</v>
      </c>
      <c r="AM5" s="20" t="s">
        <v>156</v>
      </c>
      <c r="AN5" s="20" t="s">
        <v>156</v>
      </c>
      <c r="AO5" s="20" t="s">
        <v>156</v>
      </c>
      <c r="AP5" s="20" t="s">
        <v>156</v>
      </c>
      <c r="AQ5" s="27"/>
      <c r="AR5" s="20" t="s">
        <v>156</v>
      </c>
      <c r="AS5" s="20" t="s">
        <v>156</v>
      </c>
      <c r="AT5" s="20" t="s">
        <v>156</v>
      </c>
      <c r="AU5" s="20" t="s">
        <v>156</v>
      </c>
      <c r="AV5" s="20" t="s">
        <v>156</v>
      </c>
      <c r="AW5" s="20" t="s">
        <v>156</v>
      </c>
      <c r="AX5" s="20" t="s">
        <v>159</v>
      </c>
      <c r="AY5" s="20" t="s">
        <v>159</v>
      </c>
      <c r="AZ5" s="20" t="s">
        <v>159</v>
      </c>
      <c r="BA5" s="20" t="s">
        <v>159</v>
      </c>
      <c r="BB5" s="24"/>
      <c r="BC5" s="25"/>
      <c r="BD5" s="25"/>
      <c r="BE5" s="24"/>
      <c r="BF5" s="25" t="s">
        <v>160</v>
      </c>
      <c r="BG5" s="25" t="s">
        <v>160</v>
      </c>
      <c r="BH5" s="25"/>
      <c r="BI5" s="27"/>
      <c r="BJ5" s="20"/>
      <c r="BK5" s="20"/>
      <c r="BL5" s="20"/>
      <c r="BM5" s="20"/>
      <c r="BN5" s="20"/>
      <c r="BO5" s="20"/>
      <c r="BP5" s="20"/>
      <c r="BQ5" s="20"/>
      <c r="BR5" s="20"/>
      <c r="BS5" s="25"/>
      <c r="BT5" s="25"/>
      <c r="BU5" s="25"/>
      <c r="BV5" s="20" t="s">
        <v>161</v>
      </c>
      <c r="BW5" s="20"/>
      <c r="BX5" s="20"/>
      <c r="BY5" s="20"/>
      <c r="BZ5" s="20"/>
      <c r="CA5" s="20" t="s">
        <v>162</v>
      </c>
      <c r="CB5" s="20"/>
      <c r="CC5" s="20"/>
      <c r="CD5" s="20"/>
      <c r="CE5" s="20"/>
      <c r="CF5" s="27"/>
      <c r="CG5" s="20"/>
      <c r="CH5" s="20"/>
      <c r="CI5" s="27"/>
      <c r="CJ5" s="20" t="s">
        <v>156</v>
      </c>
      <c r="CK5" s="20" t="s">
        <v>156</v>
      </c>
      <c r="CL5" s="20" t="s">
        <v>156</v>
      </c>
      <c r="CM5" s="20" t="s">
        <v>156</v>
      </c>
      <c r="CN5" s="20" t="s">
        <v>156</v>
      </c>
      <c r="CO5" s="20" t="s">
        <v>156</v>
      </c>
      <c r="CP5" s="20" t="s">
        <v>156</v>
      </c>
      <c r="CQ5" s="20" t="s">
        <v>156</v>
      </c>
      <c r="CR5" s="20" t="s">
        <v>156</v>
      </c>
      <c r="CS5" s="20" t="s">
        <v>156</v>
      </c>
      <c r="CT5" s="20" t="s">
        <v>156</v>
      </c>
      <c r="CU5" s="20" t="s">
        <v>156</v>
      </c>
      <c r="CV5" s="20" t="s">
        <v>156</v>
      </c>
      <c r="CW5" s="20" t="s">
        <v>156</v>
      </c>
      <c r="CX5" s="20" t="s">
        <v>156</v>
      </c>
      <c r="CY5" s="20" t="s">
        <v>156</v>
      </c>
      <c r="CZ5" s="20"/>
      <c r="DA5" s="20"/>
      <c r="DB5" s="24"/>
      <c r="DC5" s="20" t="s">
        <v>156</v>
      </c>
      <c r="DD5" s="20" t="s">
        <v>156</v>
      </c>
      <c r="DE5" s="20" t="s">
        <v>156</v>
      </c>
      <c r="DF5" s="20" t="s">
        <v>156</v>
      </c>
      <c r="DG5" s="20" t="s">
        <v>156</v>
      </c>
      <c r="DH5" s="20" t="s">
        <v>156</v>
      </c>
      <c r="DI5" s="20" t="s">
        <v>156</v>
      </c>
      <c r="DJ5" s="20" t="s">
        <v>156</v>
      </c>
      <c r="DK5" s="20" t="s">
        <v>156</v>
      </c>
      <c r="DL5" s="20"/>
      <c r="DM5" s="20"/>
      <c r="DN5" s="24"/>
      <c r="DO5" s="20" t="s">
        <v>156</v>
      </c>
      <c r="DP5" s="20" t="s">
        <v>156</v>
      </c>
      <c r="DQ5" s="20" t="s">
        <v>156</v>
      </c>
      <c r="DR5" s="20" t="s">
        <v>156</v>
      </c>
      <c r="DS5" s="20" t="s">
        <v>156</v>
      </c>
      <c r="DT5" s="20" t="s">
        <v>156</v>
      </c>
      <c r="DU5" s="20" t="s">
        <v>156</v>
      </c>
      <c r="DV5" s="20" t="s">
        <v>156</v>
      </c>
      <c r="DW5" s="20" t="s">
        <v>156</v>
      </c>
      <c r="DX5" s="20"/>
      <c r="DY5" s="20"/>
      <c r="DZ5" s="24"/>
      <c r="EA5" s="20" t="s">
        <v>156</v>
      </c>
      <c r="EB5" s="20" t="s">
        <v>156</v>
      </c>
      <c r="EC5" s="20" t="s">
        <v>156</v>
      </c>
      <c r="ED5" s="20" t="s">
        <v>156</v>
      </c>
      <c r="EE5" s="24"/>
      <c r="EF5" s="20"/>
      <c r="EG5" s="26"/>
      <c r="EH5" s="24"/>
      <c r="EI5" s="20" t="s">
        <v>160</v>
      </c>
      <c r="EJ5" s="20"/>
      <c r="EK5" s="20"/>
      <c r="EL5" s="20"/>
    </row>
    <row r="6" ht="14.25" customHeight="1">
      <c r="A6" s="33" t="s">
        <v>163</v>
      </c>
      <c r="B6" s="34" t="s">
        <v>164</v>
      </c>
      <c r="C6" s="34"/>
      <c r="D6" s="34"/>
      <c r="E6" s="34"/>
      <c r="F6" s="34"/>
      <c r="G6" s="34"/>
      <c r="H6" s="34"/>
      <c r="I6" s="34"/>
      <c r="J6" s="35"/>
      <c r="K6" s="35"/>
      <c r="L6" s="34"/>
      <c r="M6" s="34"/>
      <c r="N6" s="34"/>
      <c r="O6" s="34"/>
      <c r="P6" s="36"/>
      <c r="Q6" s="34"/>
      <c r="R6" s="37"/>
      <c r="S6" s="38"/>
      <c r="T6" s="36"/>
      <c r="U6" s="38"/>
      <c r="V6" s="36"/>
      <c r="W6" s="36"/>
      <c r="X6" s="38"/>
      <c r="Y6" s="39"/>
      <c r="Z6" s="39"/>
      <c r="AA6" s="34"/>
      <c r="AB6" s="39"/>
      <c r="AC6" s="34"/>
      <c r="AD6" s="34"/>
      <c r="AE6" s="34"/>
      <c r="AF6" s="38"/>
      <c r="AG6" s="34"/>
      <c r="AH6" s="34"/>
      <c r="AI6" s="38"/>
      <c r="AJ6" s="34"/>
      <c r="AK6" s="34"/>
      <c r="AL6" s="34"/>
      <c r="AM6" s="40"/>
      <c r="AN6" s="34"/>
      <c r="AO6" s="34"/>
      <c r="AP6" s="34"/>
      <c r="AQ6" s="41"/>
      <c r="AR6" s="34"/>
      <c r="AS6" s="34"/>
      <c r="AT6" s="34"/>
      <c r="AU6" s="34"/>
      <c r="AV6" s="34"/>
      <c r="AW6" s="40"/>
      <c r="AX6" s="34"/>
      <c r="AY6" s="34"/>
      <c r="AZ6" s="34"/>
      <c r="BA6" s="34"/>
      <c r="BB6" s="38"/>
      <c r="BC6" s="39"/>
      <c r="BD6" s="39"/>
      <c r="BE6" s="38"/>
      <c r="BF6" s="39"/>
      <c r="BG6" s="39"/>
      <c r="BH6" s="39"/>
      <c r="BI6" s="42"/>
      <c r="BJ6" s="34"/>
      <c r="BK6" s="34"/>
      <c r="BL6" s="34"/>
      <c r="BM6" s="34"/>
      <c r="BN6" s="34"/>
      <c r="BO6" s="34"/>
      <c r="BP6" s="34"/>
      <c r="BQ6" s="34"/>
      <c r="BR6" s="34"/>
      <c r="BS6" s="39"/>
      <c r="BT6" s="39"/>
      <c r="BU6" s="39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42"/>
      <c r="CG6" s="34"/>
      <c r="CH6" s="34"/>
      <c r="CI6" s="42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8"/>
      <c r="DC6" s="34"/>
      <c r="DD6" s="34"/>
      <c r="DE6" s="34"/>
      <c r="DF6" s="34"/>
      <c r="DG6" s="34"/>
      <c r="DH6" s="43"/>
      <c r="DI6" s="43"/>
      <c r="DJ6" s="34"/>
      <c r="DK6" s="34"/>
      <c r="DL6" s="34"/>
      <c r="DM6" s="34"/>
      <c r="DN6" s="38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8"/>
      <c r="EA6" s="34"/>
      <c r="EB6" s="34"/>
      <c r="EC6" s="34"/>
      <c r="ED6" s="34"/>
      <c r="EE6" s="38"/>
      <c r="EF6" s="34"/>
      <c r="EG6" s="40"/>
      <c r="EH6" s="38"/>
      <c r="EI6" s="34"/>
      <c r="EJ6" s="34"/>
      <c r="EK6" s="34"/>
      <c r="EL6" s="34"/>
    </row>
    <row r="7" ht="14.25" customHeight="1">
      <c r="A7" s="8">
        <v>6.0</v>
      </c>
      <c r="B7" s="44" t="s">
        <v>165</v>
      </c>
      <c r="C7" s="44"/>
      <c r="D7" s="44"/>
      <c r="E7" s="44"/>
      <c r="F7" s="44"/>
      <c r="G7" s="44"/>
      <c r="H7" s="44"/>
      <c r="I7" s="44"/>
      <c r="J7" s="45"/>
      <c r="K7" s="45"/>
      <c r="L7" s="44"/>
      <c r="M7" s="44"/>
      <c r="N7" s="44"/>
      <c r="O7" s="44"/>
      <c r="P7" s="46"/>
      <c r="Q7" s="44"/>
      <c r="R7" s="47"/>
      <c r="S7" s="48"/>
      <c r="T7" s="46"/>
      <c r="U7" s="48"/>
      <c r="V7" s="46"/>
      <c r="W7" s="46"/>
      <c r="X7" s="48"/>
      <c r="Y7" s="49"/>
      <c r="Z7" s="49"/>
      <c r="AA7" s="44"/>
      <c r="AB7" s="49"/>
      <c r="AC7" s="44"/>
      <c r="AD7" s="44"/>
      <c r="AE7" s="44"/>
      <c r="AF7" s="48"/>
      <c r="AG7" s="44"/>
      <c r="AH7" s="44"/>
      <c r="AI7" s="48"/>
      <c r="AJ7" s="44"/>
      <c r="AK7" s="44"/>
      <c r="AL7" s="44"/>
      <c r="AM7" s="50"/>
      <c r="AN7" s="51"/>
      <c r="AO7" s="44"/>
      <c r="AP7" s="44"/>
      <c r="AQ7" s="52"/>
      <c r="AR7" s="44"/>
      <c r="AS7" s="48" t="s">
        <v>166</v>
      </c>
      <c r="AT7" s="44"/>
      <c r="AU7" s="44" t="s">
        <v>167</v>
      </c>
      <c r="AV7" s="44"/>
      <c r="AW7" s="44" t="s">
        <v>168</v>
      </c>
      <c r="AX7" s="44"/>
      <c r="AY7" s="44"/>
      <c r="AZ7" s="44"/>
      <c r="BA7" s="44"/>
      <c r="BB7" s="48"/>
      <c r="BC7" s="49"/>
      <c r="BD7" s="49"/>
      <c r="BE7" s="48"/>
      <c r="BF7" s="49"/>
      <c r="BG7" s="49"/>
      <c r="BH7" s="49"/>
      <c r="BI7" s="53"/>
      <c r="BJ7" s="44"/>
      <c r="BK7" s="44"/>
      <c r="BL7" s="44"/>
      <c r="BM7" s="44"/>
      <c r="BN7" s="44"/>
      <c r="BO7" s="44"/>
      <c r="BP7" s="44"/>
      <c r="BQ7" s="44"/>
      <c r="BR7" s="44"/>
      <c r="BS7" s="49"/>
      <c r="BT7" s="49"/>
      <c r="BU7" s="49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53"/>
      <c r="CG7" s="44"/>
      <c r="CH7" s="44"/>
      <c r="CI7" s="53"/>
      <c r="CJ7" s="44"/>
      <c r="CK7" s="48" t="s">
        <v>150</v>
      </c>
      <c r="CL7" s="44">
        <f>CR7*2</f>
        <v>426</v>
      </c>
      <c r="CM7" s="48"/>
      <c r="CN7" s="48"/>
      <c r="CO7" s="48"/>
      <c r="CP7" s="48"/>
      <c r="CQ7" s="48"/>
      <c r="CR7" s="48">
        <f>35+35+38+35+35+35</f>
        <v>213</v>
      </c>
      <c r="CS7" s="44" t="s">
        <v>169</v>
      </c>
      <c r="CT7" s="44"/>
      <c r="CU7" s="44"/>
      <c r="CV7" s="44"/>
      <c r="CW7" s="44" t="s">
        <v>160</v>
      </c>
      <c r="CX7" s="44" t="s">
        <v>170</v>
      </c>
      <c r="CY7" s="44"/>
      <c r="CZ7" s="44"/>
      <c r="DA7" s="44"/>
      <c r="DB7" s="48"/>
      <c r="DC7" s="44"/>
      <c r="DD7" s="54">
        <v>3062.5</v>
      </c>
      <c r="DE7" s="44"/>
      <c r="DF7" s="44"/>
      <c r="DG7" s="44"/>
      <c r="DH7" s="55" t="s">
        <v>171</v>
      </c>
      <c r="DI7" s="56"/>
      <c r="DJ7" s="44"/>
      <c r="DK7" s="44"/>
      <c r="DL7" s="44"/>
      <c r="DM7" s="44"/>
      <c r="DN7" s="48"/>
      <c r="DO7" s="44"/>
      <c r="DP7" s="44"/>
      <c r="DQ7" s="44"/>
      <c r="DR7" s="44"/>
      <c r="DS7" s="44"/>
      <c r="DT7" s="44" t="s">
        <v>172</v>
      </c>
      <c r="DU7" s="44"/>
      <c r="DV7" s="44"/>
      <c r="DW7" s="44"/>
      <c r="DX7" s="44"/>
      <c r="DY7" s="44"/>
      <c r="DZ7" s="48"/>
      <c r="EA7" s="44"/>
      <c r="EB7" s="44" t="s">
        <v>173</v>
      </c>
      <c r="EC7" s="44"/>
      <c r="ED7" s="44"/>
      <c r="EE7" s="48"/>
      <c r="EF7" s="34"/>
      <c r="EG7" s="40"/>
      <c r="EH7" s="48"/>
      <c r="EI7" s="34"/>
      <c r="EJ7" s="34"/>
      <c r="EK7" s="34"/>
      <c r="EL7" s="34"/>
    </row>
    <row r="8" ht="15.0" customHeight="1">
      <c r="A8" s="57">
        <v>46069.0</v>
      </c>
      <c r="B8" s="58">
        <v>40454.28</v>
      </c>
      <c r="C8" s="58"/>
      <c r="D8" s="59"/>
      <c r="E8" s="59"/>
      <c r="F8" s="59"/>
      <c r="G8" s="59"/>
      <c r="H8" s="58">
        <v>48464.61</v>
      </c>
      <c r="I8" s="60">
        <f>if(B8="","Formula",sum(H8:H10)/sum(B8:B10))</f>
        <v>1.00441053</v>
      </c>
      <c r="J8" s="61">
        <v>0.0</v>
      </c>
      <c r="K8" s="61">
        <v>56578.43</v>
      </c>
      <c r="L8" s="62">
        <v>36.0</v>
      </c>
      <c r="M8" s="63"/>
      <c r="N8" s="64"/>
      <c r="O8" s="63">
        <v>42.0</v>
      </c>
      <c r="P8" s="65">
        <f>AVERAGE(O8:O10)</f>
        <v>50.66666667</v>
      </c>
      <c r="Q8" s="63">
        <f t="shared" ref="Q8:Q9" si="1">450-19-54</f>
        <v>377</v>
      </c>
      <c r="R8" s="66">
        <f t="shared" ref="R8:R10" si="2">Q8/P8</f>
        <v>7.440789474</v>
      </c>
      <c r="S8" s="67"/>
      <c r="T8" s="65"/>
      <c r="U8" s="67">
        <v>498.0</v>
      </c>
      <c r="V8" s="68">
        <v>498.0</v>
      </c>
      <c r="W8" s="68">
        <v>100.0</v>
      </c>
      <c r="X8" s="67"/>
      <c r="Y8" s="68">
        <v>14.0</v>
      </c>
      <c r="Z8" s="68">
        <v>0.0</v>
      </c>
      <c r="AA8" s="69">
        <v>0.0</v>
      </c>
      <c r="AB8" s="59"/>
      <c r="AC8" s="69">
        <f>77/(77+374)</f>
        <v>0.1707317073</v>
      </c>
      <c r="AD8" s="63"/>
      <c r="AE8" s="63"/>
      <c r="AF8" s="67"/>
      <c r="AG8" s="63"/>
      <c r="AH8" s="63">
        <v>1227.0</v>
      </c>
      <c r="AI8" s="67"/>
      <c r="AJ8" s="62">
        <v>255.0</v>
      </c>
      <c r="AK8" s="62">
        <v>17.0</v>
      </c>
      <c r="AL8" s="70">
        <v>0.93</v>
      </c>
      <c r="AM8" s="70">
        <v>0.69</v>
      </c>
      <c r="AN8" s="62">
        <v>26.0</v>
      </c>
      <c r="AO8" s="71">
        <v>8.0</v>
      </c>
      <c r="AP8" s="71">
        <v>0.0</v>
      </c>
      <c r="AQ8" s="72"/>
      <c r="AR8" s="71">
        <v>39.0</v>
      </c>
      <c r="AS8" s="70">
        <f t="shared" ref="AS8:AS10" si="3">AR8/O8</f>
        <v>0.9285714286</v>
      </c>
      <c r="AT8" s="73" t="s">
        <v>174</v>
      </c>
      <c r="AU8" s="70">
        <f>60/112</f>
        <v>0.5357142857</v>
      </c>
      <c r="AV8" s="71">
        <v>20.0</v>
      </c>
      <c r="AW8" s="70">
        <f t="shared" ref="AW8:AW10" si="4">AV8/O8</f>
        <v>0.4761904762</v>
      </c>
      <c r="AX8" s="71"/>
      <c r="AY8" s="70"/>
      <c r="AZ8" s="71"/>
      <c r="BA8" s="71"/>
      <c r="BB8" s="67"/>
      <c r="BC8" s="59"/>
      <c r="BD8" s="59"/>
      <c r="BE8" s="67"/>
      <c r="BF8" s="59"/>
      <c r="BG8" s="59"/>
      <c r="BH8" s="59"/>
      <c r="BI8" s="74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75"/>
      <c r="BZ8" s="76"/>
      <c r="CA8" s="59"/>
      <c r="CB8" s="59"/>
      <c r="CC8" s="59"/>
      <c r="CD8" s="59"/>
      <c r="CE8" s="59"/>
      <c r="CF8" s="74"/>
      <c r="CG8" s="77"/>
      <c r="CH8" s="77"/>
      <c r="CI8" s="74"/>
      <c r="CJ8" s="77"/>
      <c r="CK8" s="65"/>
      <c r="CL8" s="62"/>
      <c r="CM8" s="65"/>
      <c r="CN8" s="69"/>
      <c r="CO8" s="62"/>
      <c r="CP8" s="65"/>
      <c r="CQ8" s="62"/>
      <c r="CR8" s="66"/>
      <c r="CS8" s="71"/>
      <c r="CT8" s="78"/>
      <c r="CU8" s="78"/>
      <c r="CV8" s="78"/>
      <c r="CW8" s="71"/>
      <c r="CX8" s="69"/>
      <c r="CY8" s="69"/>
      <c r="CZ8" s="59"/>
      <c r="DA8" s="69"/>
      <c r="DB8" s="67"/>
      <c r="DC8" s="58"/>
      <c r="DD8" s="65"/>
      <c r="DE8" s="63"/>
      <c r="DF8" s="79"/>
      <c r="DG8" s="65"/>
      <c r="DH8" s="80"/>
      <c r="DI8" s="80"/>
      <c r="DJ8" s="71"/>
      <c r="DK8" s="70"/>
      <c r="DL8" s="59"/>
      <c r="DM8" s="69"/>
      <c r="DN8" s="67"/>
      <c r="DO8" s="58"/>
      <c r="DP8" s="65"/>
      <c r="DQ8" s="63"/>
      <c r="DR8" s="79"/>
      <c r="DS8" s="63"/>
      <c r="DT8" s="81"/>
      <c r="DU8" s="78"/>
      <c r="DV8" s="71"/>
      <c r="DW8" s="69"/>
      <c r="DX8" s="59"/>
      <c r="DY8" s="69"/>
      <c r="DZ8" s="67"/>
      <c r="EA8" s="82"/>
      <c r="EB8" s="71"/>
      <c r="EC8" s="62"/>
      <c r="ED8" s="83"/>
      <c r="EE8" s="67"/>
      <c r="EF8" s="83"/>
      <c r="EG8" s="69"/>
      <c r="EH8" s="67"/>
      <c r="EI8" s="83"/>
      <c r="EJ8" s="63"/>
      <c r="EK8" s="63"/>
      <c r="EL8" s="69"/>
    </row>
    <row r="9" ht="15.0" customHeight="1">
      <c r="A9" s="57">
        <v>46062.0</v>
      </c>
      <c r="B9" s="58">
        <v>42360.64</v>
      </c>
      <c r="C9" s="58"/>
      <c r="D9" s="59"/>
      <c r="E9" s="59"/>
      <c r="F9" s="59"/>
      <c r="G9" s="59"/>
      <c r="H9" s="58">
        <v>34022.04</v>
      </c>
      <c r="I9" s="60">
        <f>if(B9="","Formula",sum(H9:H10)/sum(B9:B10))</f>
        <v>0.9083875359</v>
      </c>
      <c r="J9" s="61">
        <v>182.0</v>
      </c>
      <c r="K9" s="61">
        <v>65386.72</v>
      </c>
      <c r="L9" s="62">
        <v>45.0</v>
      </c>
      <c r="M9" s="63"/>
      <c r="N9" s="64"/>
      <c r="O9" s="63">
        <v>54.0</v>
      </c>
      <c r="P9" s="65">
        <f>AVERAGE(O9:O10)</f>
        <v>55</v>
      </c>
      <c r="Q9" s="63">
        <f t="shared" si="1"/>
        <v>377</v>
      </c>
      <c r="R9" s="66">
        <f t="shared" si="2"/>
        <v>6.854545455</v>
      </c>
      <c r="S9" s="67"/>
      <c r="T9" s="65"/>
      <c r="U9" s="67"/>
      <c r="V9" s="68">
        <v>669.0</v>
      </c>
      <c r="W9" s="68">
        <v>129.0</v>
      </c>
      <c r="X9" s="67"/>
      <c r="Y9" s="68">
        <v>8.0</v>
      </c>
      <c r="Z9" s="68">
        <v>0.0</v>
      </c>
      <c r="AA9" s="69">
        <v>0.0</v>
      </c>
      <c r="AB9" s="59"/>
      <c r="AC9" s="69">
        <f>56/(56+431)</f>
        <v>0.1149897331</v>
      </c>
      <c r="AD9" s="63">
        <v>113.0</v>
      </c>
      <c r="AE9" s="63"/>
      <c r="AF9" s="67"/>
      <c r="AG9" s="63">
        <v>0.0</v>
      </c>
      <c r="AH9" s="63">
        <v>1224.0</v>
      </c>
      <c r="AI9" s="67"/>
      <c r="AJ9" s="62">
        <v>281.0</v>
      </c>
      <c r="AK9" s="62">
        <v>15.0</v>
      </c>
      <c r="AL9" s="70">
        <v>0.94</v>
      </c>
      <c r="AM9" s="70">
        <v>0.73</v>
      </c>
      <c r="AN9" s="62">
        <v>26.0</v>
      </c>
      <c r="AO9" s="71">
        <v>7.0</v>
      </c>
      <c r="AP9" s="71">
        <v>0.0</v>
      </c>
      <c r="AQ9" s="72"/>
      <c r="AR9" s="71">
        <v>56.0</v>
      </c>
      <c r="AS9" s="70">
        <f t="shared" si="3"/>
        <v>1.037037037</v>
      </c>
      <c r="AT9" s="73" t="s">
        <v>175</v>
      </c>
      <c r="AU9" s="70">
        <f>94/173</f>
        <v>0.5433526012</v>
      </c>
      <c r="AV9" s="71">
        <v>30.0</v>
      </c>
      <c r="AW9" s="70">
        <f t="shared" si="4"/>
        <v>0.5555555556</v>
      </c>
      <c r="AX9" s="71"/>
      <c r="AY9" s="70"/>
      <c r="AZ9" s="71"/>
      <c r="BA9" s="71"/>
      <c r="BB9" s="67"/>
      <c r="BC9" s="59"/>
      <c r="BD9" s="59"/>
      <c r="BE9" s="67"/>
      <c r="BF9" s="59"/>
      <c r="BG9" s="59"/>
      <c r="BH9" s="59"/>
      <c r="BI9" s="74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75"/>
      <c r="BZ9" s="76"/>
      <c r="CA9" s="59"/>
      <c r="CB9" s="59"/>
      <c r="CC9" s="59"/>
      <c r="CD9" s="59"/>
      <c r="CE9" s="59"/>
      <c r="CF9" s="74"/>
      <c r="CG9" s="77"/>
      <c r="CH9" s="77"/>
      <c r="CI9" s="74"/>
      <c r="CJ9" s="77">
        <v>36099.38</v>
      </c>
      <c r="CK9" s="65">
        <v>47.0</v>
      </c>
      <c r="CL9" s="62">
        <f>382-16-47</f>
        <v>319</v>
      </c>
      <c r="CM9" s="65">
        <v>10.0</v>
      </c>
      <c r="CN9" s="69">
        <f t="shared" ref="CN9:CN10" si="5">CM9/CK9</f>
        <v>0.2127659574</v>
      </c>
      <c r="CO9" s="62">
        <v>37.0</v>
      </c>
      <c r="CP9" s="65">
        <v>5.0</v>
      </c>
      <c r="CQ9" s="62">
        <v>5.0</v>
      </c>
      <c r="CR9" s="66">
        <f>sum(CL9:CL10)/sum(CK9:CK10)</f>
        <v>6.434782609</v>
      </c>
      <c r="CS9" s="71"/>
      <c r="CT9" s="78">
        <f>338
-47.75</f>
        <v>290.25</v>
      </c>
      <c r="CU9" s="78">
        <f>189.25
-16.75</f>
        <v>172.5</v>
      </c>
      <c r="CV9" s="78">
        <v>166.75</v>
      </c>
      <c r="CW9" s="71">
        <v>382.0</v>
      </c>
      <c r="CX9" s="69">
        <f t="shared" ref="CX9:CX10" si="6">CV9/CT9</f>
        <v>0.5745047373</v>
      </c>
      <c r="CY9" s="69">
        <f t="shared" ref="CY9:CY10" si="7">CV9/CU9</f>
        <v>0.9666666667</v>
      </c>
      <c r="CZ9" s="59">
        <v>30.0</v>
      </c>
      <c r="DA9" s="69">
        <f t="shared" ref="DA9:DA10" si="8">CZ9/CK9</f>
        <v>0.6382978723</v>
      </c>
      <c r="DB9" s="67"/>
      <c r="DC9" s="58">
        <v>355.0</v>
      </c>
      <c r="DD9" s="65">
        <v>1.0</v>
      </c>
      <c r="DE9" s="63">
        <v>2.0</v>
      </c>
      <c r="DF9" s="79">
        <f>if(DD9="","Formula",sum(DE9:DE10)/sum(DD9:DD10))</f>
        <v>2.333333333</v>
      </c>
      <c r="DG9" s="65"/>
      <c r="DH9" s="80">
        <v>3.75</v>
      </c>
      <c r="DI9" s="80">
        <v>4.0</v>
      </c>
      <c r="DJ9" s="71">
        <v>3.0</v>
      </c>
      <c r="DK9" s="70">
        <f t="shared" ref="DK9:DK10" si="9">DI9/DH9</f>
        <v>1.066666667</v>
      </c>
      <c r="DL9" s="59">
        <v>0.0</v>
      </c>
      <c r="DM9" s="69">
        <v>0.0</v>
      </c>
      <c r="DN9" s="67"/>
      <c r="DO9" s="58">
        <v>4458.9</v>
      </c>
      <c r="DP9" s="65">
        <v>4.0</v>
      </c>
      <c r="DQ9" s="63">
        <f>55-7</f>
        <v>48</v>
      </c>
      <c r="DR9" s="79">
        <f>sum(DQ9:DQ10)/sum(DP9:DP10)</f>
        <v>10.2</v>
      </c>
      <c r="DS9" s="63"/>
      <c r="DT9" s="81">
        <f>31
-2.75</f>
        <v>28.25</v>
      </c>
      <c r="DU9" s="78">
        <v>25.25</v>
      </c>
      <c r="DV9" s="71">
        <v>55.0</v>
      </c>
      <c r="DW9" s="69">
        <f t="shared" ref="DW9:DW10" si="10">DU9/DT9</f>
        <v>0.8938053097</v>
      </c>
      <c r="DX9" s="59">
        <v>0.0</v>
      </c>
      <c r="DY9" s="69">
        <v>0.0</v>
      </c>
      <c r="DZ9" s="67"/>
      <c r="EA9" s="82">
        <v>2355.0</v>
      </c>
      <c r="EB9" s="71">
        <v>2.0</v>
      </c>
      <c r="EC9" s="62">
        <v>17.0</v>
      </c>
      <c r="ED9" s="83">
        <f>if(EB10="","Formula",sum(EC10)/sum(EB10))</f>
        <v>1.5</v>
      </c>
      <c r="EE9" s="67"/>
      <c r="EF9" s="83">
        <f>sum(CL9:CL10,DE9:DE10,DQ9:DQ10,EC9:EC10)/sum(CK9:CK10,DD9:DD10,DP9:DP10,EB9:EB10)</f>
        <v>6.522522523</v>
      </c>
      <c r="EG9" s="69">
        <f t="shared" ref="EG9:EG10" si="11">AVERAGE(DW9,DK9,CX9)</f>
        <v>0.8449922379</v>
      </c>
      <c r="EH9" s="67"/>
      <c r="EI9" s="83"/>
      <c r="EJ9" s="63"/>
      <c r="EK9" s="63"/>
      <c r="EL9" s="69"/>
    </row>
    <row r="10" ht="15.0" customHeight="1">
      <c r="A10" s="57">
        <v>46055.0</v>
      </c>
      <c r="B10" s="58">
        <v>39202.17</v>
      </c>
      <c r="C10" s="58"/>
      <c r="D10" s="59"/>
      <c r="E10" s="59"/>
      <c r="F10" s="59"/>
      <c r="G10" s="59"/>
      <c r="H10" s="58">
        <v>40068.6</v>
      </c>
      <c r="I10" s="60">
        <f>if(B10="","Formula",sum(H10)/sum(B10))</f>
        <v>1.022101583</v>
      </c>
      <c r="J10" s="61">
        <v>60.0</v>
      </c>
      <c r="K10" s="61">
        <v>57239.65</v>
      </c>
      <c r="L10" s="62">
        <v>43.0</v>
      </c>
      <c r="M10" s="63"/>
      <c r="N10" s="64"/>
      <c r="O10" s="63">
        <v>56.0</v>
      </c>
      <c r="P10" s="65">
        <f>AVERAGE(O10)</f>
        <v>56</v>
      </c>
      <c r="Q10" s="63">
        <f>412-15-57</f>
        <v>340</v>
      </c>
      <c r="R10" s="66">
        <f t="shared" si="2"/>
        <v>6.071428571</v>
      </c>
      <c r="S10" s="67"/>
      <c r="T10" s="65"/>
      <c r="U10" s="67"/>
      <c r="V10" s="68">
        <v>599.0</v>
      </c>
      <c r="W10" s="68">
        <v>44.0</v>
      </c>
      <c r="X10" s="67"/>
      <c r="Y10" s="68">
        <v>9.0</v>
      </c>
      <c r="Z10" s="68">
        <v>0.0</v>
      </c>
      <c r="AA10" s="69">
        <v>0.0</v>
      </c>
      <c r="AB10" s="59"/>
      <c r="AC10" s="69">
        <f>56/(56+397)</f>
        <v>0.1236203091</v>
      </c>
      <c r="AD10" s="63">
        <v>103.0</v>
      </c>
      <c r="AE10" s="63"/>
      <c r="AF10" s="67"/>
      <c r="AG10" s="63">
        <v>0.0</v>
      </c>
      <c r="AH10" s="63">
        <v>1217.0</v>
      </c>
      <c r="AI10" s="67"/>
      <c r="AJ10" s="62">
        <v>282.0</v>
      </c>
      <c r="AK10" s="62">
        <v>16.0</v>
      </c>
      <c r="AL10" s="70">
        <v>0.94</v>
      </c>
      <c r="AM10" s="70">
        <v>0.78</v>
      </c>
      <c r="AN10" s="62">
        <v>33.0</v>
      </c>
      <c r="AO10" s="71">
        <v>7.0</v>
      </c>
      <c r="AP10" s="71">
        <v>2.0</v>
      </c>
      <c r="AQ10" s="72"/>
      <c r="AR10" s="71">
        <v>56.0</v>
      </c>
      <c r="AS10" s="70">
        <f t="shared" si="3"/>
        <v>1</v>
      </c>
      <c r="AT10" s="73" t="s">
        <v>176</v>
      </c>
      <c r="AU10" s="70">
        <f>96/181</f>
        <v>0.5303867403</v>
      </c>
      <c r="AV10" s="71">
        <v>38.0</v>
      </c>
      <c r="AW10" s="70">
        <f t="shared" si="4"/>
        <v>0.6785714286</v>
      </c>
      <c r="AX10" s="71"/>
      <c r="AY10" s="70"/>
      <c r="AZ10" s="71"/>
      <c r="BA10" s="71"/>
      <c r="BB10" s="67"/>
      <c r="BC10" s="59"/>
      <c r="BD10" s="59"/>
      <c r="BE10" s="67"/>
      <c r="BF10" s="59"/>
      <c r="BG10" s="59"/>
      <c r="BH10" s="59"/>
      <c r="BI10" s="74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75"/>
      <c r="BZ10" s="76"/>
      <c r="CA10" s="59"/>
      <c r="CB10" s="59"/>
      <c r="CC10" s="59"/>
      <c r="CD10" s="59"/>
      <c r="CE10" s="59"/>
      <c r="CF10" s="74"/>
      <c r="CG10" s="77"/>
      <c r="CH10" s="77"/>
      <c r="CI10" s="74"/>
      <c r="CJ10" s="77">
        <v>30394.0</v>
      </c>
      <c r="CK10" s="65">
        <v>45.0</v>
      </c>
      <c r="CL10" s="62">
        <f>329-11-45</f>
        <v>273</v>
      </c>
      <c r="CM10" s="65">
        <v>11.0</v>
      </c>
      <c r="CN10" s="69">
        <f t="shared" si="5"/>
        <v>0.2444444444</v>
      </c>
      <c r="CO10" s="62">
        <v>37.0</v>
      </c>
      <c r="CP10" s="65">
        <v>2.0</v>
      </c>
      <c r="CQ10" s="62">
        <v>6.0</v>
      </c>
      <c r="CR10" s="66">
        <f>sum(CL10)/sum(CK10)</f>
        <v>6.066666667</v>
      </c>
      <c r="CS10" s="71"/>
      <c r="CT10" s="78">
        <f>313.25
-39.75</f>
        <v>273.5</v>
      </c>
      <c r="CU10" s="78">
        <f>153.5
-14.25</f>
        <v>139.25</v>
      </c>
      <c r="CV10" s="78">
        <v>138.0</v>
      </c>
      <c r="CW10" s="71">
        <v>329.0</v>
      </c>
      <c r="CX10" s="69">
        <f t="shared" si="6"/>
        <v>0.5045703839</v>
      </c>
      <c r="CY10" s="69">
        <f t="shared" si="7"/>
        <v>0.9910233393</v>
      </c>
      <c r="CZ10" s="59">
        <v>38.0</v>
      </c>
      <c r="DA10" s="69">
        <f t="shared" si="8"/>
        <v>0.8444444444</v>
      </c>
      <c r="DB10" s="67"/>
      <c r="DC10" s="58">
        <v>775.5</v>
      </c>
      <c r="DD10" s="65">
        <v>2.0</v>
      </c>
      <c r="DE10" s="63">
        <v>5.0</v>
      </c>
      <c r="DF10" s="79">
        <f>if(DD10="","Formula",sum(DE10)/sum(DD10))</f>
        <v>2.5</v>
      </c>
      <c r="DG10" s="65"/>
      <c r="DH10" s="80">
        <f>8.5
-0.5</f>
        <v>8</v>
      </c>
      <c r="DI10" s="80">
        <v>8.75</v>
      </c>
      <c r="DJ10" s="71">
        <v>7.0</v>
      </c>
      <c r="DK10" s="70">
        <f t="shared" si="9"/>
        <v>1.09375</v>
      </c>
      <c r="DL10" s="59">
        <v>0.0</v>
      </c>
      <c r="DM10" s="69">
        <v>0.0</v>
      </c>
      <c r="DN10" s="67"/>
      <c r="DO10" s="58">
        <v>5649.9</v>
      </c>
      <c r="DP10" s="65">
        <v>6.0</v>
      </c>
      <c r="DQ10" s="63">
        <f>62-8</f>
        <v>54</v>
      </c>
      <c r="DR10" s="79">
        <f>sum(DQ10)/sum(DP10)</f>
        <v>9</v>
      </c>
      <c r="DS10" s="63"/>
      <c r="DT10" s="81">
        <f>37.5
-2.25</f>
        <v>35.25</v>
      </c>
      <c r="DU10" s="78">
        <v>30.75</v>
      </c>
      <c r="DV10" s="71">
        <v>62.0</v>
      </c>
      <c r="DW10" s="69">
        <f t="shared" si="10"/>
        <v>0.8723404255</v>
      </c>
      <c r="DX10" s="59">
        <v>0.0</v>
      </c>
      <c r="DY10" s="69">
        <v>0.0</v>
      </c>
      <c r="DZ10" s="67"/>
      <c r="EA10" s="82">
        <v>1215.0</v>
      </c>
      <c r="EB10" s="71">
        <v>4.0</v>
      </c>
      <c r="EC10" s="62">
        <v>6.0</v>
      </c>
      <c r="ED10" s="83" t="str">
        <f>if(#REF!="","Formula",sum(#REF!)/sum(#REF!))</f>
        <v>#REF!</v>
      </c>
      <c r="EE10" s="67"/>
      <c r="EF10" s="83">
        <f>sum(CL10,DE10,DQ10,EC10)/sum(CK10,DD10,DP10,EB10)</f>
        <v>5.929824561</v>
      </c>
      <c r="EG10" s="69">
        <f t="shared" si="11"/>
        <v>0.8235536031</v>
      </c>
      <c r="EH10" s="67"/>
      <c r="EI10" s="83"/>
      <c r="EJ10" s="63"/>
      <c r="EK10" s="63"/>
      <c r="EL10" s="69"/>
    </row>
  </sheetData>
  <mergeCells count="1">
    <mergeCell ref="AJ1:AP1"/>
  </mergeCells>
  <conditionalFormatting sqref="B8:B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8:I1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L8:AL1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Y8:AY10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D8:DD10 DP8:DP10 EB8:EB1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8:I10">
    <cfRule type="cellIs" dxfId="0" priority="6" operator="equal">
      <formula>"Formula"</formula>
    </cfRule>
  </conditionalFormatting>
  <conditionalFormatting sqref="AY8:AY10">
    <cfRule type="cellIs" dxfId="0" priority="7" operator="equal">
      <formula>"Formula"</formula>
    </cfRule>
  </conditionalFormatting>
  <conditionalFormatting sqref="CX8:DA10 DL8:DM10 DX8:DY10">
    <cfRule type="cellIs" dxfId="0" priority="8" operator="equal">
      <formula>"Formula"</formula>
    </cfRule>
  </conditionalFormatting>
  <conditionalFormatting sqref="CR8:CR10">
    <cfRule type="cellIs" dxfId="0" priority="9" operator="equal">
      <formula>"Formula"</formula>
    </cfRule>
  </conditionalFormatting>
  <conditionalFormatting sqref="DF8:DF10 DR8:DR10">
    <cfRule type="cellIs" dxfId="0" priority="10" operator="equal">
      <formula>"Formula"</formula>
    </cfRule>
  </conditionalFormatting>
  <conditionalFormatting sqref="DF8:DF10 DR8:DR10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Z8:CZ10 DK8:DM10">
    <cfRule type="cellIs" dxfId="0" priority="12" operator="equal">
      <formula>"Formula"</formula>
    </cfRule>
  </conditionalFormatting>
  <conditionalFormatting sqref="CR8:CR10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A8:BA10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R8:DR10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A1:CA10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L8:EL10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M2:AM4 AM6:AM10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S8:AS10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J1:AJ10 AK5:AP5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1:O6 O8:O10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K1:CK1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W1:AW6 AW8:AW10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 K1:K10">
    <cfRule type="colorScale" priority="2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:J10">
    <cfRule type="colorScale" priority="2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G8:EH10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J8:CJ10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